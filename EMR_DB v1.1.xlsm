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pivotTables/pivotTable1.xml" ContentType="application/vnd.openxmlformats-officedocument.spreadsheetml.pivotTable+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730" codeName="{3D1A710C-6663-3D7B-7F91-EC182F24A4BC}"/>
  <workbookPr codeName="ThisWorkbook" defaultThemeVersion="124226"/>
  <mc:AlternateContent xmlns:mc="http://schemas.openxmlformats.org/markup-compatibility/2006">
    <mc:Choice Requires="x15">
      <x15ac:absPath xmlns:x15ac="http://schemas.microsoft.com/office/spreadsheetml/2010/11/ac" url="C:\Users\96015\Desktop\Programming\emr_database_excel\EM-Database-excel-\"/>
    </mc:Choice>
  </mc:AlternateContent>
  <xr:revisionPtr revIDLastSave="0" documentId="13_ncr:1_{2868093A-34EC-4841-B9F5-DEF097C38E95}" xr6:coauthVersionLast="36" xr6:coauthVersionMax="36" xr10:uidLastSave="{00000000-0000-0000-0000-000000000000}"/>
  <bookViews>
    <workbookView xWindow="240" yWindow="135" windowWidth="23760" windowHeight="9660" tabRatio="747" activeTab="1" xr2:uid="{00000000-000D-0000-FFFF-FFFF00000000}"/>
  </bookViews>
  <sheets>
    <sheet name="EMR Form" sheetId="15" r:id="rId1"/>
    <sheet name="EMR Data" sheetId="6" r:id="rId2"/>
    <sheet name="dump" sheetId="36" r:id="rId3"/>
    <sheet name="List" sheetId="16" r:id="rId4"/>
    <sheet name="equip_list" sheetId="37" r:id="rId5"/>
    <sheet name="Report_1" sheetId="18" r:id="rId6"/>
    <sheet name="Report_2" sheetId="19" r:id="rId7"/>
    <sheet name="Report_3" sheetId="39" r:id="rId8"/>
    <sheet name="user_log" sheetId="38" r:id="rId9"/>
    <sheet name="Metrics" sheetId="41" r:id="rId10"/>
  </sheets>
  <definedNames>
    <definedName name="_xlnm._FilterDatabase" localSheetId="1" hidden="1">'EMR Data'!$A$1:$Z$149</definedName>
    <definedName name="_xlnm._FilterDatabase" localSheetId="3" hidden="1">List!$A$1:$AK$1</definedName>
    <definedName name="_xlnm.Print_Area" localSheetId="5">Report_1!$1:$3</definedName>
    <definedName name="_xlnm.Print_Titles" localSheetId="5">Report_1!$1:$3</definedName>
    <definedName name="_xlnm.Print_Titles" localSheetId="6">Report_2!$1:$3</definedName>
  </definedNames>
  <calcPr calcId="191029"/>
  <pivotCaches>
    <pivotCache cacheId="8" r:id="rId11"/>
  </pivotCaches>
  <extLs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A3" i="36" l="1"/>
  <c r="S269" i="16" l="1"/>
  <c r="T269" i="16" l="1"/>
  <c r="S268" i="16"/>
  <c r="T268" i="16" l="1"/>
  <c r="S267" i="16"/>
  <c r="T266" i="16"/>
  <c r="S266" i="16" l="1"/>
  <c r="T267" i="16"/>
  <c r="T265" i="16"/>
  <c r="S265" i="16" l="1"/>
  <c r="T264" i="16"/>
  <c r="S264" i="16" l="1"/>
  <c r="S263" i="16"/>
  <c r="T263" i="16" l="1"/>
  <c r="S262" i="16"/>
  <c r="T262" i="16" l="1"/>
  <c r="S261" i="16"/>
  <c r="T260" i="16"/>
  <c r="T259" i="16"/>
  <c r="S260" i="16" l="1"/>
  <c r="T261" i="16"/>
  <c r="S259" i="16"/>
  <c r="T258" i="16"/>
  <c r="T257" i="16"/>
  <c r="T256" i="16"/>
  <c r="S258" i="16" l="1"/>
  <c r="S257" i="16"/>
  <c r="S256" i="16"/>
  <c r="S255" i="16"/>
  <c r="T255" i="16" l="1"/>
  <c r="T254" i="16"/>
  <c r="S254" i="16" l="1"/>
  <c r="S253" i="16"/>
  <c r="T253" i="16" l="1"/>
  <c r="S252" i="16" l="1"/>
  <c r="T252" i="16" l="1"/>
  <c r="S251" i="16"/>
  <c r="T251" i="16" l="1"/>
  <c r="S250" i="16"/>
  <c r="T250" i="16" l="1"/>
  <c r="S249" i="16"/>
  <c r="T249" i="16" l="1"/>
  <c r="S248" i="16"/>
  <c r="T248" i="16" l="1"/>
  <c r="T247" i="16"/>
  <c r="S247" i="16" l="1"/>
  <c r="S246" i="16" l="1"/>
  <c r="T246" i="16" l="1"/>
  <c r="T245" i="16"/>
  <c r="S245" i="16" l="1"/>
  <c r="T244" i="16" l="1"/>
  <c r="S244" i="16" l="1"/>
  <c r="S243" i="16"/>
  <c r="S242" i="16"/>
  <c r="T242" i="16" l="1"/>
  <c r="T243" i="16"/>
  <c r="S241" i="16"/>
  <c r="S240" i="16"/>
  <c r="T241" i="16" l="1"/>
  <c r="T240" i="16"/>
  <c r="T239" i="16"/>
  <c r="S238" i="16"/>
  <c r="S237" i="16"/>
  <c r="S236" i="16"/>
  <c r="S235" i="16"/>
  <c r="S234" i="16"/>
  <c r="S239" i="16" l="1"/>
  <c r="T238" i="16"/>
  <c r="T237" i="16"/>
  <c r="T236" i="16"/>
  <c r="T235" i="16"/>
  <c r="T234" i="16"/>
  <c r="S233" i="16"/>
  <c r="S232" i="16"/>
  <c r="T232" i="16" l="1"/>
  <c r="T233" i="16"/>
  <c r="T231" i="16"/>
  <c r="S231" i="16" l="1"/>
  <c r="T230" i="16"/>
  <c r="S229" i="16"/>
  <c r="S228" i="16"/>
  <c r="S230" i="16" l="1"/>
  <c r="T229" i="16"/>
  <c r="T228" i="16"/>
  <c r="S227" i="16"/>
  <c r="T227" i="16" l="1"/>
  <c r="T226" i="16"/>
  <c r="T225" i="16"/>
  <c r="S224" i="16"/>
  <c r="S226" i="16" l="1"/>
  <c r="S225" i="16"/>
  <c r="T224" i="16"/>
  <c r="S223" i="16"/>
  <c r="T223" i="16" l="1"/>
  <c r="S222" i="16"/>
  <c r="S221" i="16"/>
  <c r="T221" i="16" l="1"/>
  <c r="T222" i="16"/>
  <c r="S220" i="16"/>
  <c r="T220" i="16" l="1"/>
  <c r="S219" i="16"/>
  <c r="S218" i="16"/>
  <c r="S217" i="16"/>
  <c r="T216" i="16"/>
  <c r="S215" i="16"/>
  <c r="S216" i="16" l="1"/>
  <c r="T219" i="16"/>
  <c r="T218" i="16"/>
  <c r="T217" i="16"/>
  <c r="T215" i="16"/>
  <c r="S214" i="16"/>
  <c r="T214" i="16" l="1"/>
  <c r="S213" i="16" l="1"/>
  <c r="T213" i="16" l="1"/>
  <c r="S212" i="16" l="1"/>
  <c r="S211" i="16"/>
  <c r="S210" i="16"/>
  <c r="T212" i="16" l="1"/>
  <c r="T211" i="16"/>
  <c r="T210" i="16"/>
  <c r="S209" i="16"/>
  <c r="S208" i="16"/>
  <c r="S207" i="16"/>
  <c r="S206" i="16"/>
  <c r="Y31" i="16"/>
  <c r="X26" i="16"/>
  <c r="X32" i="16"/>
  <c r="Y33" i="16"/>
  <c r="Y34" i="16"/>
  <c r="Y35" i="16"/>
  <c r="Y36" i="16"/>
  <c r="Y37" i="16"/>
  <c r="S205" i="16"/>
  <c r="S204" i="16"/>
  <c r="X33" i="16" l="1"/>
  <c r="T209" i="16"/>
  <c r="T207" i="16"/>
  <c r="T208" i="16"/>
  <c r="T206" i="16"/>
  <c r="Y32" i="16"/>
  <c r="T205" i="16"/>
  <c r="Y26" i="16"/>
  <c r="T204" i="16"/>
  <c r="T203" i="16"/>
  <c r="S203" i="16" l="1"/>
  <c r="S202" i="16" l="1"/>
  <c r="T202" i="16" l="1"/>
  <c r="S201" i="16"/>
  <c r="S200" i="16"/>
  <c r="T199" i="16"/>
  <c r="T201" i="16" l="1"/>
  <c r="T200" i="16"/>
  <c r="S199" i="16"/>
  <c r="T198" i="16"/>
  <c r="S198" i="16" l="1"/>
  <c r="T30" i="16" l="1"/>
  <c r="S30" i="16"/>
  <c r="T44" i="16"/>
  <c r="S44" i="16"/>
  <c r="S36" i="16"/>
  <c r="T36" i="16"/>
  <c r="T29" i="16"/>
  <c r="S29" i="16"/>
  <c r="T24" i="16"/>
  <c r="S24" i="16"/>
  <c r="S16" i="16"/>
  <c r="T16" i="16"/>
  <c r="T4" i="16"/>
  <c r="S4" i="16"/>
  <c r="T55" i="16"/>
  <c r="S55" i="16"/>
  <c r="S47" i="16"/>
  <c r="T47" i="16"/>
  <c r="T72" i="16"/>
  <c r="S72" i="16"/>
  <c r="T64" i="16"/>
  <c r="S64" i="16"/>
  <c r="T82" i="16"/>
  <c r="S82" i="16"/>
  <c r="T96" i="16"/>
  <c r="S96" i="16"/>
  <c r="T92" i="16"/>
  <c r="S92" i="16"/>
  <c r="S176" i="16"/>
  <c r="T176" i="16"/>
  <c r="S164" i="16"/>
  <c r="T164" i="16"/>
  <c r="T2" i="16"/>
  <c r="S2" i="16"/>
  <c r="T42" i="16"/>
  <c r="S42" i="16"/>
  <c r="T38" i="16"/>
  <c r="S38" i="16"/>
  <c r="T34" i="16"/>
  <c r="S34" i="16"/>
  <c r="T31" i="16"/>
  <c r="S31" i="16"/>
  <c r="T27" i="16"/>
  <c r="S27" i="16"/>
  <c r="T22" i="16"/>
  <c r="S22" i="16"/>
  <c r="T18" i="16"/>
  <c r="S18" i="16"/>
  <c r="T14" i="16"/>
  <c r="S14" i="16"/>
  <c r="T10" i="16"/>
  <c r="S10" i="16"/>
  <c r="T6" i="16"/>
  <c r="S6" i="16"/>
  <c r="T61" i="16"/>
  <c r="S61" i="16"/>
  <c r="T57" i="16"/>
  <c r="S57" i="16"/>
  <c r="T53" i="16"/>
  <c r="S53" i="16"/>
  <c r="T49" i="16"/>
  <c r="S49" i="16"/>
  <c r="T74" i="16"/>
  <c r="S74" i="16"/>
  <c r="T70" i="16"/>
  <c r="S70" i="16"/>
  <c r="T66" i="16"/>
  <c r="S66" i="16"/>
  <c r="T62" i="16"/>
  <c r="S62" i="16"/>
  <c r="S84" i="16"/>
  <c r="T84" i="16"/>
  <c r="T80" i="16"/>
  <c r="S80" i="16"/>
  <c r="T76" i="16"/>
  <c r="S76" i="16"/>
  <c r="T94" i="16"/>
  <c r="S94" i="16"/>
  <c r="T90" i="16"/>
  <c r="S90" i="16"/>
  <c r="T178" i="16"/>
  <c r="S178" i="16"/>
  <c r="T174" i="16"/>
  <c r="S174" i="16"/>
  <c r="T170" i="16"/>
  <c r="S170" i="16"/>
  <c r="T166" i="16"/>
  <c r="S166" i="16"/>
  <c r="T162" i="16"/>
  <c r="S162" i="16"/>
  <c r="T158" i="16"/>
  <c r="S158" i="16"/>
  <c r="T154" i="16"/>
  <c r="S154" i="16"/>
  <c r="T150" i="16"/>
  <c r="S150" i="16"/>
  <c r="T146" i="16"/>
  <c r="S146" i="16"/>
  <c r="T142" i="16"/>
  <c r="S142" i="16"/>
  <c r="T138" i="16"/>
  <c r="S138" i="16"/>
  <c r="T134" i="16"/>
  <c r="S134" i="16"/>
  <c r="T130" i="16"/>
  <c r="S130" i="16"/>
  <c r="T126" i="16"/>
  <c r="S126" i="16"/>
  <c r="T122" i="16"/>
  <c r="S122" i="16"/>
  <c r="T118" i="16"/>
  <c r="S118" i="16"/>
  <c r="T114" i="16"/>
  <c r="S114" i="16"/>
  <c r="T110" i="16"/>
  <c r="S110" i="16"/>
  <c r="T106" i="16"/>
  <c r="S106" i="16"/>
  <c r="T102" i="16"/>
  <c r="S102" i="16"/>
  <c r="T98" i="16"/>
  <c r="S98" i="16"/>
  <c r="S188" i="16"/>
  <c r="T188" i="16"/>
  <c r="S184" i="16"/>
  <c r="T184" i="16"/>
  <c r="S180" i="16"/>
  <c r="T180" i="16"/>
  <c r="T195" i="16"/>
  <c r="S195" i="16"/>
  <c r="T45" i="16"/>
  <c r="S45" i="16"/>
  <c r="T41" i="16"/>
  <c r="S41" i="16"/>
  <c r="T37" i="16"/>
  <c r="S37" i="16"/>
  <c r="T33" i="16"/>
  <c r="S33" i="16"/>
  <c r="T25" i="16"/>
  <c r="S25" i="16"/>
  <c r="T21" i="16"/>
  <c r="S21" i="16"/>
  <c r="T17" i="16"/>
  <c r="S17" i="16"/>
  <c r="T13" i="16"/>
  <c r="S13" i="16"/>
  <c r="T9" i="16"/>
  <c r="S9" i="16"/>
  <c r="T5" i="16"/>
  <c r="S5" i="16"/>
  <c r="T60" i="16"/>
  <c r="S60" i="16"/>
  <c r="T56" i="16"/>
  <c r="S56" i="16"/>
  <c r="S52" i="16"/>
  <c r="T52" i="16"/>
  <c r="T48" i="16"/>
  <c r="S48" i="16"/>
  <c r="T73" i="16"/>
  <c r="S73" i="16"/>
  <c r="T69" i="16"/>
  <c r="S69" i="16"/>
  <c r="T65" i="16"/>
  <c r="S65" i="16"/>
  <c r="T87" i="16"/>
  <c r="S87" i="16"/>
  <c r="T83" i="16"/>
  <c r="S83" i="16"/>
  <c r="S79" i="16"/>
  <c r="T79" i="16"/>
  <c r="T75" i="16"/>
  <c r="S75" i="16"/>
  <c r="T93" i="16"/>
  <c r="S93" i="16"/>
  <c r="T89" i="16"/>
  <c r="S89" i="16"/>
  <c r="T177" i="16"/>
  <c r="S177" i="16"/>
  <c r="T173" i="16"/>
  <c r="S173" i="16"/>
  <c r="T169" i="16"/>
  <c r="S169" i="16"/>
  <c r="T165" i="16"/>
  <c r="S165" i="16"/>
  <c r="T161" i="16"/>
  <c r="S161" i="16"/>
  <c r="T157" i="16"/>
  <c r="S157" i="16"/>
  <c r="T153" i="16"/>
  <c r="S153" i="16"/>
  <c r="T149" i="16"/>
  <c r="S149" i="16"/>
  <c r="T145" i="16"/>
  <c r="S145" i="16"/>
  <c r="T141" i="16"/>
  <c r="S141" i="16"/>
  <c r="T137" i="16"/>
  <c r="S137" i="16"/>
  <c r="T133" i="16"/>
  <c r="S133" i="16"/>
  <c r="T129" i="16"/>
  <c r="S129" i="16"/>
  <c r="T125" i="16"/>
  <c r="S125" i="16"/>
  <c r="T121" i="16"/>
  <c r="S121" i="16"/>
  <c r="T117" i="16"/>
  <c r="S117" i="16"/>
  <c r="T113" i="16"/>
  <c r="S113" i="16"/>
  <c r="T109" i="16"/>
  <c r="S109" i="16"/>
  <c r="T105" i="16"/>
  <c r="S105" i="16"/>
  <c r="T101" i="16"/>
  <c r="S101" i="16"/>
  <c r="S191" i="16"/>
  <c r="T191" i="16"/>
  <c r="T187" i="16"/>
  <c r="S187" i="16"/>
  <c r="T183" i="16"/>
  <c r="S183" i="16"/>
  <c r="T179" i="16"/>
  <c r="S179" i="16"/>
  <c r="T194" i="16"/>
  <c r="S194" i="16"/>
  <c r="T40" i="16"/>
  <c r="S40" i="16"/>
  <c r="T32" i="16"/>
  <c r="S32" i="16"/>
  <c r="T20" i="16"/>
  <c r="S20" i="16"/>
  <c r="T12" i="16"/>
  <c r="S12" i="16"/>
  <c r="S8" i="16"/>
  <c r="T8" i="16"/>
  <c r="T59" i="16"/>
  <c r="S59" i="16"/>
  <c r="T51" i="16"/>
  <c r="S51" i="16"/>
  <c r="S68" i="16"/>
  <c r="T68" i="16"/>
  <c r="T86" i="16"/>
  <c r="S86" i="16"/>
  <c r="T78" i="16"/>
  <c r="S78" i="16"/>
  <c r="T88" i="16"/>
  <c r="S88" i="16"/>
  <c r="S172" i="16"/>
  <c r="T172" i="16"/>
  <c r="S168" i="16"/>
  <c r="T168" i="16"/>
  <c r="S160" i="16"/>
  <c r="T160" i="16"/>
  <c r="S156" i="16"/>
  <c r="T156" i="16"/>
  <c r="S152" i="16"/>
  <c r="T152" i="16"/>
  <c r="S148" i="16"/>
  <c r="T148" i="16"/>
  <c r="T144" i="16"/>
  <c r="S144" i="16"/>
  <c r="T140" i="16"/>
  <c r="S140" i="16"/>
  <c r="T136" i="16"/>
  <c r="S136" i="16"/>
  <c r="S132" i="16"/>
  <c r="T132" i="16"/>
  <c r="T128" i="16"/>
  <c r="S128" i="16"/>
  <c r="T124" i="16"/>
  <c r="S124" i="16"/>
  <c r="T120" i="16"/>
  <c r="S120" i="16"/>
  <c r="S116" i="16"/>
  <c r="T116" i="16"/>
  <c r="T112" i="16"/>
  <c r="S112" i="16"/>
  <c r="T108" i="16"/>
  <c r="S108" i="16"/>
  <c r="T104" i="16"/>
  <c r="S104" i="16"/>
  <c r="S100" i="16"/>
  <c r="T100" i="16"/>
  <c r="T190" i="16"/>
  <c r="S190" i="16"/>
  <c r="T186" i="16"/>
  <c r="S186" i="16"/>
  <c r="T182" i="16"/>
  <c r="S182" i="16"/>
  <c r="T197" i="16"/>
  <c r="S197" i="16"/>
  <c r="T193" i="16"/>
  <c r="S193" i="16"/>
  <c r="T43" i="16"/>
  <c r="S43" i="16"/>
  <c r="S39" i="16"/>
  <c r="T39" i="16"/>
  <c r="T35" i="16"/>
  <c r="S35" i="16"/>
  <c r="T26" i="16"/>
  <c r="S26" i="16"/>
  <c r="T28" i="16"/>
  <c r="S28" i="16"/>
  <c r="S23" i="16"/>
  <c r="T23" i="16"/>
  <c r="T19" i="16"/>
  <c r="S19" i="16"/>
  <c r="S15" i="16"/>
  <c r="T15" i="16"/>
  <c r="T11" i="16"/>
  <c r="S11" i="16"/>
  <c r="S7" i="16"/>
  <c r="T7" i="16"/>
  <c r="T3" i="16"/>
  <c r="S3" i="16"/>
  <c r="T58" i="16"/>
  <c r="S58" i="16"/>
  <c r="T54" i="16"/>
  <c r="S54" i="16"/>
  <c r="T50" i="16"/>
  <c r="S50" i="16"/>
  <c r="T46" i="16"/>
  <c r="S46" i="16"/>
  <c r="S71" i="16"/>
  <c r="T71" i="16"/>
  <c r="T67" i="16"/>
  <c r="S67" i="16"/>
  <c r="S63" i="16"/>
  <c r="T63" i="16"/>
  <c r="T85" i="16"/>
  <c r="S85" i="16"/>
  <c r="T81" i="16"/>
  <c r="S81" i="16"/>
  <c r="T77" i="16"/>
  <c r="S77" i="16"/>
  <c r="S95" i="16"/>
  <c r="T95" i="16"/>
  <c r="T91" i="16"/>
  <c r="S91" i="16"/>
  <c r="T97" i="16"/>
  <c r="S97" i="16"/>
  <c r="S175" i="16"/>
  <c r="T175" i="16"/>
  <c r="T171" i="16"/>
  <c r="S171" i="16"/>
  <c r="T167" i="16"/>
  <c r="S167" i="16"/>
  <c r="T163" i="16"/>
  <c r="S163" i="16"/>
  <c r="S159" i="16"/>
  <c r="T159" i="16"/>
  <c r="T155" i="16"/>
  <c r="S155" i="16"/>
  <c r="T151" i="16"/>
  <c r="S151" i="16"/>
  <c r="T147" i="16"/>
  <c r="S147" i="16"/>
  <c r="S143" i="16"/>
  <c r="T143" i="16"/>
  <c r="T139" i="16"/>
  <c r="S139" i="16"/>
  <c r="S135" i="16"/>
  <c r="T135" i="16"/>
  <c r="T131" i="16"/>
  <c r="S131" i="16"/>
  <c r="S127" i="16"/>
  <c r="T127" i="16"/>
  <c r="T123" i="16"/>
  <c r="S123" i="16"/>
  <c r="T119" i="16"/>
  <c r="S119" i="16"/>
  <c r="T115" i="16"/>
  <c r="S115" i="16"/>
  <c r="S111" i="16"/>
  <c r="T111" i="16"/>
  <c r="T107" i="16"/>
  <c r="S107" i="16"/>
  <c r="S103" i="16"/>
  <c r="T103" i="16"/>
  <c r="T99" i="16"/>
  <c r="S99" i="16"/>
  <c r="T189" i="16"/>
  <c r="S189" i="16"/>
  <c r="T185" i="16"/>
  <c r="S185" i="16"/>
  <c r="T181" i="16"/>
  <c r="S181" i="16"/>
  <c r="S196" i="16"/>
  <c r="T196" i="16"/>
  <c r="S192" i="16"/>
  <c r="T192" i="16"/>
  <c r="Y25" i="16"/>
  <c r="Y27" i="16"/>
  <c r="Y28" i="16"/>
  <c r="Y29" i="16"/>
  <c r="Y30" i="16"/>
  <c r="Y106" i="16" l="1"/>
  <c r="X106" i="16"/>
  <c r="Y98" i="16"/>
  <c r="X98" i="16"/>
  <c r="Y90" i="16"/>
  <c r="X90" i="16"/>
  <c r="Y82" i="16"/>
  <c r="X82" i="16"/>
  <c r="X74" i="16"/>
  <c r="Y74" i="16"/>
  <c r="X66" i="16"/>
  <c r="Y66" i="16"/>
  <c r="X58" i="16"/>
  <c r="Y58" i="16"/>
  <c r="Y50" i="16"/>
  <c r="X50" i="16"/>
  <c r="X42" i="16"/>
  <c r="Y42" i="16"/>
  <c r="X34" i="16"/>
  <c r="X31" i="16"/>
  <c r="Y22" i="16"/>
  <c r="X22" i="16"/>
  <c r="X14" i="16"/>
  <c r="Y14" i="16"/>
  <c r="Y10" i="16"/>
  <c r="X10" i="16"/>
  <c r="Y6" i="16"/>
  <c r="X6" i="16"/>
  <c r="Y105" i="16"/>
  <c r="X105" i="16"/>
  <c r="Y101" i="16"/>
  <c r="X101" i="16"/>
  <c r="Y93" i="16"/>
  <c r="X93" i="16"/>
  <c r="Y85" i="16"/>
  <c r="X85" i="16"/>
  <c r="Y77" i="16"/>
  <c r="X77" i="16"/>
  <c r="Y69" i="16"/>
  <c r="X69" i="16"/>
  <c r="Y57" i="16"/>
  <c r="X57" i="16"/>
  <c r="Y49" i="16"/>
  <c r="X49" i="16"/>
  <c r="Y41" i="16"/>
  <c r="X41" i="16"/>
  <c r="Y21" i="16"/>
  <c r="X21" i="16"/>
  <c r="Y13" i="16"/>
  <c r="X13" i="16"/>
  <c r="Y9" i="16"/>
  <c r="X9" i="16"/>
  <c r="X108" i="16"/>
  <c r="Y108" i="16"/>
  <c r="X104" i="16"/>
  <c r="Y104" i="16"/>
  <c r="Y100" i="16"/>
  <c r="X100" i="16"/>
  <c r="Y96" i="16"/>
  <c r="X96" i="16"/>
  <c r="X92" i="16"/>
  <c r="Y92" i="16"/>
  <c r="X88" i="16"/>
  <c r="Y88" i="16"/>
  <c r="Y84" i="16"/>
  <c r="X84" i="16"/>
  <c r="Y80" i="16"/>
  <c r="X80" i="16"/>
  <c r="Y76" i="16"/>
  <c r="X76" i="16"/>
  <c r="Y72" i="16"/>
  <c r="X72" i="16"/>
  <c r="Y68" i="16"/>
  <c r="X68" i="16"/>
  <c r="Y64" i="16"/>
  <c r="X64" i="16"/>
  <c r="Y60" i="16"/>
  <c r="X60" i="16"/>
  <c r="Y56" i="16"/>
  <c r="X56" i="16"/>
  <c r="Y52" i="16"/>
  <c r="X52" i="16"/>
  <c r="Y48" i="16"/>
  <c r="X48" i="16"/>
  <c r="Y44" i="16"/>
  <c r="X44" i="16"/>
  <c r="Y40" i="16"/>
  <c r="X40" i="16"/>
  <c r="X36" i="16"/>
  <c r="X29" i="16"/>
  <c r="Y24" i="16"/>
  <c r="X24" i="16"/>
  <c r="Y20" i="16"/>
  <c r="X20" i="16"/>
  <c r="Y16" i="16"/>
  <c r="X16" i="16"/>
  <c r="Y12" i="16"/>
  <c r="X12" i="16"/>
  <c r="Y8" i="16"/>
  <c r="X8" i="16"/>
  <c r="Y4" i="16"/>
  <c r="X4" i="16"/>
  <c r="X110" i="16"/>
  <c r="Y110" i="16"/>
  <c r="X102" i="16"/>
  <c r="Y102" i="16"/>
  <c r="X94" i="16"/>
  <c r="Y94" i="16"/>
  <c r="X86" i="16"/>
  <c r="Y86" i="16"/>
  <c r="X78" i="16"/>
  <c r="Y78" i="16"/>
  <c r="Y70" i="16"/>
  <c r="X70" i="16"/>
  <c r="X62" i="16"/>
  <c r="Y62" i="16"/>
  <c r="Y54" i="16"/>
  <c r="X54" i="16"/>
  <c r="X46" i="16"/>
  <c r="Y46" i="16"/>
  <c r="Y38" i="16"/>
  <c r="X38" i="16"/>
  <c r="X27" i="16"/>
  <c r="X18" i="16"/>
  <c r="Y18" i="16"/>
  <c r="Y109" i="16"/>
  <c r="X109" i="16"/>
  <c r="Y97" i="16"/>
  <c r="X97" i="16"/>
  <c r="Y89" i="16"/>
  <c r="X89" i="16"/>
  <c r="Y81" i="16"/>
  <c r="X81" i="16"/>
  <c r="Y73" i="16"/>
  <c r="X73" i="16"/>
  <c r="Y65" i="16"/>
  <c r="X65" i="16"/>
  <c r="Y61" i="16"/>
  <c r="X61" i="16"/>
  <c r="Y53" i="16"/>
  <c r="X53" i="16"/>
  <c r="Y45" i="16"/>
  <c r="X45" i="16"/>
  <c r="X37" i="16"/>
  <c r="X30" i="16"/>
  <c r="X25" i="16"/>
  <c r="Y17" i="16"/>
  <c r="X17" i="16"/>
  <c r="Y5" i="16"/>
  <c r="X5" i="16"/>
  <c r="Y112" i="16"/>
  <c r="X112" i="16"/>
  <c r="Y111" i="16"/>
  <c r="X111" i="16"/>
  <c r="Y107" i="16"/>
  <c r="X107" i="16"/>
  <c r="Y103" i="16"/>
  <c r="X103" i="16"/>
  <c r="Y99" i="16"/>
  <c r="X99" i="16"/>
  <c r="Y95" i="16"/>
  <c r="X95" i="16"/>
  <c r="Y91" i="16"/>
  <c r="X91" i="16"/>
  <c r="Y87" i="16"/>
  <c r="X87" i="16"/>
  <c r="Y83" i="16"/>
  <c r="X83" i="16"/>
  <c r="Y79" i="16"/>
  <c r="X79" i="16"/>
  <c r="Y75" i="16"/>
  <c r="X75" i="16"/>
  <c r="Y71" i="16"/>
  <c r="X71" i="16"/>
  <c r="Y67" i="16"/>
  <c r="X67" i="16"/>
  <c r="Y63" i="16"/>
  <c r="X63" i="16"/>
  <c r="Y59" i="16"/>
  <c r="X59" i="16"/>
  <c r="Y55" i="16"/>
  <c r="X55" i="16"/>
  <c r="Y51" i="16"/>
  <c r="X51" i="16"/>
  <c r="Y47" i="16"/>
  <c r="X47" i="16"/>
  <c r="Y43" i="16"/>
  <c r="X43" i="16"/>
  <c r="Y39" i="16"/>
  <c r="X39" i="16"/>
  <c r="X35" i="16"/>
  <c r="X28" i="16"/>
  <c r="Y23" i="16"/>
  <c r="X23" i="16"/>
  <c r="Y19" i="16"/>
  <c r="X19" i="16"/>
  <c r="Y15" i="16"/>
  <c r="X15" i="16"/>
  <c r="Y11" i="16"/>
  <c r="X11" i="16"/>
  <c r="Y7" i="16"/>
  <c r="X7" i="16"/>
  <c r="Y3" i="16"/>
  <c r="X3" i="16"/>
  <c r="X2" i="16" l="1"/>
  <c r="Y2" i="16"/>
</calcChain>
</file>

<file path=xl/sharedStrings.xml><?xml version="1.0" encoding="utf-8"?>
<sst xmlns="http://schemas.openxmlformats.org/spreadsheetml/2006/main" count="6722" uniqueCount="1898">
  <si>
    <t>Off Test</t>
  </si>
  <si>
    <t>Delayed Test</t>
  </si>
  <si>
    <t>Stopped Test</t>
  </si>
  <si>
    <t xml:space="preserve">No Test Impact </t>
  </si>
  <si>
    <t>Safety Hazard</t>
  </si>
  <si>
    <t>REPORTING TECHNICIAN</t>
  </si>
  <si>
    <t>TEST IMPACT</t>
  </si>
  <si>
    <t>DATE CLOSED</t>
  </si>
  <si>
    <t>DESCRIPTION OF PROBLEM</t>
  </si>
  <si>
    <t>CORRECTIVE ACTION</t>
  </si>
  <si>
    <t>PRIMARY CAUSE</t>
  </si>
  <si>
    <t>STATUS</t>
  </si>
  <si>
    <t>Mike Watkins</t>
  </si>
  <si>
    <t>Scott Ross</t>
  </si>
  <si>
    <t>Glen Tyler</t>
  </si>
  <si>
    <t>Dale Pomeroy</t>
  </si>
  <si>
    <t>Chris Goodwater</t>
  </si>
  <si>
    <t>Jimmie Dowd</t>
  </si>
  <si>
    <t>OPEN</t>
  </si>
  <si>
    <t>CLOSED</t>
  </si>
  <si>
    <t>HASKEL WATER PUMP W-1</t>
  </si>
  <si>
    <t>HASKEL WATER PUMP W-2</t>
  </si>
  <si>
    <t>HASKEL WATER PUMP W-3</t>
  </si>
  <si>
    <t>HASKEL WATER PUMP W-4</t>
  </si>
  <si>
    <t>HASKEL WATER PUMP W-5</t>
  </si>
  <si>
    <t>HASKEL WATER PUMP W-6</t>
  </si>
  <si>
    <t>PARTEK PUMP W-7</t>
  </si>
  <si>
    <t>PARTEK PUMP W-8</t>
  </si>
  <si>
    <t>Meyers Pump Skid W-9</t>
  </si>
  <si>
    <t>Wepuko Triplex Pump W-10</t>
  </si>
  <si>
    <t>Vescor Pump W-11</t>
  </si>
  <si>
    <t>Hydramec Pump W-12</t>
  </si>
  <si>
    <t>Hydro-Pac Pump W-13</t>
  </si>
  <si>
    <t>Hydro-Pac Pump W-14</t>
  </si>
  <si>
    <t>Hydro-Pac Pump W-15</t>
  </si>
  <si>
    <t>Haskel Gas Booster G-1</t>
  </si>
  <si>
    <t>Haskel Gas Booster G-2</t>
  </si>
  <si>
    <t>Haskel Gas Booster G-3</t>
  </si>
  <si>
    <t>Haskel Gas Booster G-4</t>
  </si>
  <si>
    <t>Haskel Gas Booster G-5</t>
  </si>
  <si>
    <t>SHS Gas Booster G-6</t>
  </si>
  <si>
    <t>Haskel Gas Booster G-7</t>
  </si>
  <si>
    <t>Haskel Gas Booster G-8</t>
  </si>
  <si>
    <t>Haskel Gas Booster G-9</t>
  </si>
  <si>
    <t>SHS Gas Booster G-10</t>
  </si>
  <si>
    <t>PHC Gas Booster</t>
  </si>
  <si>
    <t>Haskel Pumps H-1</t>
  </si>
  <si>
    <t>Haskel Pumps H-2</t>
  </si>
  <si>
    <t>Haskel Pumps H-3</t>
  </si>
  <si>
    <t>Haskel Pumps H-4</t>
  </si>
  <si>
    <t>Cooperheat Blanket Heating Unit</t>
  </si>
  <si>
    <t>1 MM PTM</t>
  </si>
  <si>
    <t>1.5 MM PTM</t>
  </si>
  <si>
    <t>2.0 MM PTM</t>
  </si>
  <si>
    <t>3.0 MM PTM</t>
  </si>
  <si>
    <t>Small Hyperbaric Chamber</t>
  </si>
  <si>
    <t>Large Hyperbaric Chamber</t>
  </si>
  <si>
    <t>PHC Air Amplifier</t>
  </si>
  <si>
    <t>NOT SERVICABLE-REPLACE</t>
  </si>
  <si>
    <t>SERVICABLE – REPAIR (in-house)</t>
  </si>
  <si>
    <t>SERVICABLE – REPAIR (contractor)</t>
  </si>
  <si>
    <t>HARDWARE UPGRADE REQUIRED</t>
  </si>
  <si>
    <t>ELECTRICAL (Power)</t>
  </si>
  <si>
    <t>ELECTRICAL (Controls)</t>
  </si>
  <si>
    <t>MECHANICAL</t>
  </si>
  <si>
    <t>HYDRAULIC (leaks, valves, seals, etc.)</t>
  </si>
  <si>
    <t>PNEUMATIC (leaks, valves, seals, etc.)</t>
  </si>
  <si>
    <t>COMPONENT DEFECT</t>
  </si>
  <si>
    <t>COMPONENT WEAR &amp; TEAR</t>
  </si>
  <si>
    <t>OPERATOR ERROR</t>
  </si>
  <si>
    <t>OPERATING BEYOND DESIGN LIMITS</t>
  </si>
  <si>
    <t>UNKNOWN</t>
  </si>
  <si>
    <t>Pressure Transducer</t>
  </si>
  <si>
    <t>LDS</t>
  </si>
  <si>
    <t>Gas Booster</t>
  </si>
  <si>
    <t>Hydraulic Pump</t>
  </si>
  <si>
    <t>Temperature Control Unit</t>
  </si>
  <si>
    <t>Heating Unit</t>
  </si>
  <si>
    <t>NONE: Continued Use as Is</t>
  </si>
  <si>
    <t>N/A</t>
  </si>
  <si>
    <t>SOFTWARE ANOMALY</t>
  </si>
  <si>
    <t>COMPUTER ANOMALY</t>
  </si>
  <si>
    <t>ELECTRONIC COMPONENTS</t>
  </si>
  <si>
    <t>FAILED SENSOR</t>
  </si>
  <si>
    <t>Tescom</t>
  </si>
  <si>
    <t>Pressure Regulator</t>
  </si>
  <si>
    <t>Pull Test Machine</t>
  </si>
  <si>
    <t>Checked t/c and t/c wiring. Checked temperature using process calibrator. Test verified Watlow controller had a bad input board. Replace input board with one from the spare controller. Worked properly after replaced</t>
  </si>
  <si>
    <t>Accumulators</t>
  </si>
  <si>
    <t>Partial Data Loss</t>
  </si>
  <si>
    <t>Total Data Loss</t>
  </si>
  <si>
    <t>CAMERON TECHNOLOGY DEVELOPMENT CENTER</t>
  </si>
  <si>
    <t>EQUIPMENT  
MALFUNCTION / MAINTENANCE 
REPORT</t>
  </si>
  <si>
    <t>DATE OPENED</t>
  </si>
  <si>
    <t>TEST PLAN</t>
  </si>
  <si>
    <t>LAB EQUIPMENT (Malfunction/Maintenance)</t>
  </si>
  <si>
    <t>ACTION(S)</t>
  </si>
  <si>
    <t>FAILURE MODE</t>
  </si>
  <si>
    <t>Input board became loose in the F4 controller causing the purge line to dump liquid nitrogen non-stop. This caused the fixture to get too cold (-100°F). The test temp was set for -20°F. Unable to accomplish plan hold due to low temperature, resulting in a lost test day. Safety Issue: Excess LN2 dumped into the thermal box poses a safety hazard to personnel entering the test cell.</t>
  </si>
  <si>
    <t xml:space="preserve">Houston North A/C_x000D_
Invoice:34629 </t>
  </si>
  <si>
    <t>Not reading accurate temperature. Watlow controller not working._x000D_
_x000D_
Test one.</t>
  </si>
  <si>
    <t>Yes</t>
  </si>
  <si>
    <t>25 T EnerPac Press</t>
  </si>
  <si>
    <t>Hydraulic Press</t>
  </si>
  <si>
    <t>HYTORC Pump</t>
  </si>
  <si>
    <t>HYTORC Wrench</t>
  </si>
  <si>
    <t>ELECTRICAL (Heaters)</t>
  </si>
  <si>
    <t>HASKEL WATER PUMP W-17</t>
  </si>
  <si>
    <t>Carl Haenel</t>
  </si>
  <si>
    <t>Robert Galvan</t>
  </si>
  <si>
    <t>Gas Booster G-11</t>
  </si>
  <si>
    <t xml:space="preserve">Pushed input board back into the controller. Most likely board became loose due to vibration when ice forms on the blower._x000D_
_x000D_
Recommended action for all Temperature Control Units with the Watlow F4 controllers: Apply a bead of hot glue to the input board tabs to prevent it from coming loose._x000D_
</t>
  </si>
  <si>
    <t>HOUR METER</t>
  </si>
  <si>
    <t>Dynex Pump H-6</t>
  </si>
  <si>
    <t>Manifold Needle Valve-Autoclave</t>
  </si>
  <si>
    <t>Manifold Needle Valve-BuTech</t>
  </si>
  <si>
    <t>Manifold Needle Valve-Swagelok</t>
  </si>
  <si>
    <t>Bemco Unit -1</t>
  </si>
  <si>
    <t>Bemco Unit -4</t>
  </si>
  <si>
    <t>Bemco Unit -2</t>
  </si>
  <si>
    <t>Bemco Unit -3</t>
  </si>
  <si>
    <t>Bemco Unit -5</t>
  </si>
  <si>
    <t>Bemco Unit -6</t>
  </si>
  <si>
    <t>O2 Sensor (Test Pit-2)</t>
  </si>
  <si>
    <t>CAMDAQ -7</t>
  </si>
  <si>
    <t>Hot Oil Heating Unit -1</t>
  </si>
  <si>
    <t>Hot Oil Heating Unit -2</t>
  </si>
  <si>
    <t>Hot Oil Heating Unit -4</t>
  </si>
  <si>
    <t>O2 Sensor (Test Pit-1)</t>
  </si>
  <si>
    <t>STCU -1</t>
  </si>
  <si>
    <t>STCU -2</t>
  </si>
  <si>
    <t>STCU -3</t>
  </si>
  <si>
    <t>Valve Cart -1 Manifold</t>
  </si>
  <si>
    <t>Valve Cart -2 Manifold</t>
  </si>
  <si>
    <t>Arthur Hernandez Jr</t>
  </si>
  <si>
    <t>Questionable</t>
  </si>
  <si>
    <t>Anthony Ramos</t>
  </si>
  <si>
    <t>Walter Robertson</t>
  </si>
  <si>
    <t>Gas Booster G-12</t>
  </si>
  <si>
    <t>Diaphragm Valve (SN 30VM9071-OM)</t>
  </si>
  <si>
    <t>Nitrogen Supply System</t>
  </si>
  <si>
    <t>Gas Booster G-13</t>
  </si>
  <si>
    <t>Gas Booster G-14</t>
  </si>
  <si>
    <t>Manifold Valve</t>
  </si>
  <si>
    <t>Hydro-Pac Pump W-16</t>
  </si>
  <si>
    <t>OPEN EMRs</t>
  </si>
  <si>
    <t>Potential Impact</t>
  </si>
  <si>
    <t>Torque Tools</t>
  </si>
  <si>
    <t>Ryan Theiss</t>
  </si>
  <si>
    <t>Oxygen Monitoring</t>
  </si>
  <si>
    <t>N/A-Preventive Maintenance Action</t>
  </si>
  <si>
    <t xml:space="preserve">FAILED SOLENOID </t>
  </si>
  <si>
    <t>H-7 (B&amp;T HPU)</t>
  </si>
  <si>
    <t>EMR-206</t>
  </si>
  <si>
    <t>LOCATION</t>
  </si>
  <si>
    <t>CELL1</t>
  </si>
  <si>
    <t>CELL2</t>
  </si>
  <si>
    <t>CELL3</t>
  </si>
  <si>
    <t>CELL4</t>
  </si>
  <si>
    <t>CELL5</t>
  </si>
  <si>
    <t>CELL6</t>
  </si>
  <si>
    <t>CELL7</t>
  </si>
  <si>
    <t>CELL8</t>
  </si>
  <si>
    <t>CELL9</t>
  </si>
  <si>
    <t>CELL10</t>
  </si>
  <si>
    <t>CELL11</t>
  </si>
  <si>
    <t>CELL12</t>
  </si>
  <si>
    <t>CELL13</t>
  </si>
  <si>
    <t>CELL14</t>
  </si>
  <si>
    <t>CELL15</t>
  </si>
  <si>
    <t>CELL16</t>
  </si>
  <si>
    <t>CELL17</t>
  </si>
  <si>
    <t>CELL18</t>
  </si>
  <si>
    <t>CELL19</t>
  </si>
  <si>
    <t>CELL20</t>
  </si>
  <si>
    <t>CELL21</t>
  </si>
  <si>
    <t>CELL22</t>
  </si>
  <si>
    <t>CELL23</t>
  </si>
  <si>
    <t>CELL24</t>
  </si>
  <si>
    <t>PIT1</t>
  </si>
  <si>
    <t>PIT2</t>
  </si>
  <si>
    <t>PIT3</t>
  </si>
  <si>
    <t>PIT4</t>
  </si>
  <si>
    <t>PIT5</t>
  </si>
  <si>
    <t>PIT6</t>
  </si>
  <si>
    <t>Z1E-PPC</t>
  </si>
  <si>
    <t>EMR-207</t>
  </si>
  <si>
    <t>Solenoid</t>
  </si>
  <si>
    <t>Z3-AIR-PPC1</t>
  </si>
  <si>
    <t>Liquid Bypass</t>
  </si>
  <si>
    <t>Z3-LQD-PPC1</t>
  </si>
  <si>
    <t>Pump Outlet ISO</t>
  </si>
  <si>
    <t>Z3-LQD-PT1</t>
  </si>
  <si>
    <t>Liquid Regulator ISO</t>
  </si>
  <si>
    <t>Z3-LQD-PPC2</t>
  </si>
  <si>
    <t>Z3 to Z1 Gas</t>
  </si>
  <si>
    <t>Z3 to Z1 Aux</t>
  </si>
  <si>
    <t>Z3 to Z2 Aux</t>
  </si>
  <si>
    <t>MSV-1</t>
  </si>
  <si>
    <t>MSV-2</t>
  </si>
  <si>
    <t>MISV</t>
  </si>
  <si>
    <t>MBV</t>
  </si>
  <si>
    <t>Z1-MSLIV</t>
  </si>
  <si>
    <t>Z2-MSLIV</t>
  </si>
  <si>
    <t>MSV-1-PT</t>
  </si>
  <si>
    <t>MSV-2-PT</t>
  </si>
  <si>
    <t>VENT-1-PT</t>
  </si>
  <si>
    <t>VENT-2-PT</t>
  </si>
  <si>
    <t>Z1-MVLIV</t>
  </si>
  <si>
    <t>Z2-MVLIV</t>
  </si>
  <si>
    <t>VBV-1</t>
  </si>
  <si>
    <t>VBV-2</t>
  </si>
  <si>
    <t>Pneumatic Valve Assembly</t>
  </si>
  <si>
    <t>Proportional Pressure Controller</t>
  </si>
  <si>
    <t>Motorized Valve Assembly</t>
  </si>
  <si>
    <t>Z3-SV-P1</t>
  </si>
  <si>
    <t>Z3-SV-P5</t>
  </si>
  <si>
    <t>Pump Air Supply Solenoid</t>
  </si>
  <si>
    <t>Z1A-PPC</t>
  </si>
  <si>
    <t>Z1B-PPC</t>
  </si>
  <si>
    <t>Z1C-PPC</t>
  </si>
  <si>
    <t>Z1D-PPC</t>
  </si>
  <si>
    <t>Z1F-PPC</t>
  </si>
  <si>
    <t>Z2G-PPC</t>
  </si>
  <si>
    <t>Z2H-PPC</t>
  </si>
  <si>
    <t>Z1A-PSV</t>
  </si>
  <si>
    <t>Z1B-PSV</t>
  </si>
  <si>
    <t>Z1C-PSV</t>
  </si>
  <si>
    <t>Z1D-PSV</t>
  </si>
  <si>
    <t>Z1E-PSV</t>
  </si>
  <si>
    <t>Z1F-PSV</t>
  </si>
  <si>
    <t>Z2G-PSV</t>
  </si>
  <si>
    <t>Z2H-PSV</t>
  </si>
  <si>
    <t>Z1A-PVV</t>
  </si>
  <si>
    <t>Z1B-PVV</t>
  </si>
  <si>
    <t>Z1C-PVV</t>
  </si>
  <si>
    <t>Z1D-PVV</t>
  </si>
  <si>
    <t>Z1E-PVV</t>
  </si>
  <si>
    <t>Z1F-PVV</t>
  </si>
  <si>
    <t>Z2G-PVV</t>
  </si>
  <si>
    <t>Z1A-PIV</t>
  </si>
  <si>
    <t>Z1B-PIV</t>
  </si>
  <si>
    <t>Z1C-PIV</t>
  </si>
  <si>
    <t>Z1D-PIV</t>
  </si>
  <si>
    <t>Z1E-PIV</t>
  </si>
  <si>
    <t>Z1F-PIV</t>
  </si>
  <si>
    <t>Z2G-PIV</t>
  </si>
  <si>
    <t>Z2H-PIV</t>
  </si>
  <si>
    <t>Z1A-PT</t>
  </si>
  <si>
    <t>Z1B-PT</t>
  </si>
  <si>
    <t>Z1C-PT</t>
  </si>
  <si>
    <t>Z1D-PT</t>
  </si>
  <si>
    <t>Z1E-PT</t>
  </si>
  <si>
    <t>Z1F-PT</t>
  </si>
  <si>
    <t>Z2G-PT</t>
  </si>
  <si>
    <t>Z2H-PT</t>
  </si>
  <si>
    <t>Z1A-PIV-PT</t>
  </si>
  <si>
    <t>Z1B-PIV-PT</t>
  </si>
  <si>
    <t>Z1C-PIV-PT</t>
  </si>
  <si>
    <t>Z1D-PIV-PT</t>
  </si>
  <si>
    <t>Z1E-PIV-PT</t>
  </si>
  <si>
    <t>Z1F-PIV-PT</t>
  </si>
  <si>
    <t>Z2G-PIV-PT</t>
  </si>
  <si>
    <t>Z2H-PIV-PT</t>
  </si>
  <si>
    <t>Z1A-BMIV</t>
  </si>
  <si>
    <t>Z1B-BMIV</t>
  </si>
  <si>
    <t>Z1C-BMIV</t>
  </si>
  <si>
    <t>Z1D-BMIV</t>
  </si>
  <si>
    <t>Z1E-BMIV</t>
  </si>
  <si>
    <t>Z1F-BMIV</t>
  </si>
  <si>
    <t>Z2G-BMIV</t>
  </si>
  <si>
    <t>Z2H-BMIV</t>
  </si>
  <si>
    <t>GB Shop Air Regulator</t>
  </si>
  <si>
    <t>Pump Shop Air Regulator</t>
  </si>
  <si>
    <t>AG-303</t>
  </si>
  <si>
    <t>CAUSE</t>
  </si>
  <si>
    <t>Needle Valve</t>
  </si>
  <si>
    <t>CONTRAINTS</t>
  </si>
  <si>
    <t xml:space="preserve">Unable to supply high pressure Nitrogen to the Manifold. </t>
  </si>
  <si>
    <t>Use Pump P2</t>
  </si>
  <si>
    <t>Use Pump P3</t>
  </si>
  <si>
    <t>Use Pump P4</t>
  </si>
  <si>
    <t>Use Pump P5 for pressures greater than 38 KSI.</t>
  </si>
  <si>
    <t>EQUIPMENT (FOLDERS)</t>
  </si>
  <si>
    <t>EQUIPMENT (FILE LINK)</t>
  </si>
  <si>
    <t>TBD</t>
  </si>
  <si>
    <t>VENT-1</t>
  </si>
  <si>
    <t>VENT-2</t>
  </si>
  <si>
    <t>Gas Booster Solenoid</t>
  </si>
  <si>
    <t>EMR-208</t>
  </si>
  <si>
    <t>PPC does not respond to command.</t>
  </si>
  <si>
    <t>Russells Unit-1</t>
  </si>
  <si>
    <t>Russells Unit-2</t>
  </si>
  <si>
    <t>Russells Unit-3</t>
  </si>
  <si>
    <t xml:space="preserve">Heater wires are broken off from the heater terminals. Nuts securing the heating elements are loose. </t>
  </si>
  <si>
    <t>Heater wires are broken off from the heater terminals. Nuts securing the heating elements are loose.</t>
  </si>
  <si>
    <t>Unable to vent Port E thru Zone 1 or Zone 2 Vent lines.</t>
  </si>
  <si>
    <t>EMR-209</t>
  </si>
  <si>
    <t>Unable to locate the cable for Z3-LQD-PT1. The identification is: 7-AI6</t>
  </si>
  <si>
    <t>Required for Pump control. Unable to use Manifold until corrective action is taken.</t>
  </si>
  <si>
    <t>EMR-210</t>
  </si>
  <si>
    <t xml:space="preserve">Continous venting or leak thru the pilot supply port. This failure occurred on initial use. </t>
  </si>
  <si>
    <t>EMR-211</t>
  </si>
  <si>
    <t>Liquid Bypass valve solenoid is controlling the Z3-Z1 Gas Valve. This appears to be a wiring interface issue.</t>
  </si>
  <si>
    <t>Shop Air Supply Dump Valve</t>
  </si>
  <si>
    <t>Shop Air Supply Valve</t>
  </si>
  <si>
    <t>EMR-212</t>
  </si>
  <si>
    <t xml:space="preserve">The manifold shop air supply quick dump valve does not open. Unable to supply shop air to the manifold. </t>
  </si>
  <si>
    <t>Corrective action assigned to CAE for the week of 8/21/2017. _x000D_
8/22/17: Cable 7-AI6 installed.</t>
  </si>
  <si>
    <t>The regulator needs to be repaired or replaced. (removed and replaced with the gas booster regulator from CELL08 to resume Test Plan 102-17.)_x000D_
8/22/17: Regulator was installed with the ports reversed. Regulator re-installed correctly. Unit operational.</t>
  </si>
  <si>
    <t xml:space="preserve">CAE needs to correct the wiring interface for these two valves._x000D_
8/22/17: Actuator supply lines where incorrectly installed. The lines have been installed in correctly locations. Valves operating correctly. </t>
  </si>
  <si>
    <t>INSTALLATION ERROR</t>
  </si>
  <si>
    <t>CAE to troubleshoot and repair/replace. Possible wiring issue. It appears the wires for the valve solenoid do not terminate in the control box as shown on the electrical prints._x000D_
8/22/17: Defective solenoid. Removed and replaced with solenoid from CELL8. Solenoid to be ordered by CAE.</t>
  </si>
  <si>
    <t>Operator Key Switch</t>
  </si>
  <si>
    <t>Control Console</t>
  </si>
  <si>
    <t>EMR-213</t>
  </si>
  <si>
    <t>Contacts are not engaging.</t>
  </si>
  <si>
    <t xml:space="preserve">Key is defective. Removed and replaced with key switch from CELL7. </t>
  </si>
  <si>
    <t>EMR-214</t>
  </si>
  <si>
    <t xml:space="preserve">Pump muffler not installed. </t>
  </si>
  <si>
    <t>Pump muffler cannibalized from Pump 5 in CELL7.</t>
  </si>
  <si>
    <t>EMR-215</t>
  </si>
  <si>
    <t>Muffler cannibalized from Pump 5 in CELL7 to use in CELL19.</t>
  </si>
  <si>
    <t>Digital Interface</t>
  </si>
  <si>
    <t>System I/O</t>
  </si>
  <si>
    <t>HSE System</t>
  </si>
  <si>
    <t>Bunker Door</t>
  </si>
  <si>
    <t>Manifold Room Door</t>
  </si>
  <si>
    <t>Pressure Beacon</t>
  </si>
  <si>
    <t>EMR-216</t>
  </si>
  <si>
    <t xml:space="preserve">Bunker Door motor/latch does not actuate.  </t>
  </si>
  <si>
    <t>EMR-217</t>
  </si>
  <si>
    <t>Digital outputs controlling the PIV solenoids and the BMIV solenoids are incorrectly wired. As a result, valves are not actuating on thier assigned channels.</t>
  </si>
  <si>
    <t>EMR-218</t>
  </si>
  <si>
    <t xml:space="preserve">PIV and BMIV solenoids not responding to commands. </t>
  </si>
  <si>
    <t>Trouble shooting in-work</t>
  </si>
  <si>
    <t xml:space="preserve">9/7/2017: Door proximity sensors were not set. The proximity sensors adjusted. Door motor/latch is operational._x000D_
</t>
  </si>
  <si>
    <t>Computer Station Power Switch</t>
  </si>
  <si>
    <t>Latch Motor Power Switch</t>
  </si>
  <si>
    <t>Electrical Power</t>
  </si>
  <si>
    <t>EMR-219</t>
  </si>
  <si>
    <t>John Amstadt (Erdosmiller)</t>
  </si>
  <si>
    <t xml:space="preserve">The power switch on Cell 21’s motor enclosure is backwards. Off turns on power, and On turns off power. </t>
  </si>
  <si>
    <t>EMR-220</t>
  </si>
  <si>
    <t xml:space="preserve">Digital outputs on Cell 22 cannot be actuated while the manifold or bunker door is open._x000D_
a.	This appears to be correct behavior according to the schematics, however, none of the other bunkers have the same behavior._x000D_
</t>
  </si>
  <si>
    <t xml:space="preserve">CAE to verify functionality. </t>
  </si>
  <si>
    <t>Executive Override Key</t>
  </si>
  <si>
    <t>EMR-221</t>
  </si>
  <si>
    <t>John Amstadt</t>
  </si>
  <si>
    <t>Cell 22’s executive override key cannot be turned to the on/active position. The override is not functional. Unable to verify HSE functions with the key inoperative.</t>
  </si>
  <si>
    <t>EMR-222</t>
  </si>
  <si>
    <t>Valve actuates but not receiving feedback (position) indication on the HMI.</t>
  </si>
  <si>
    <t>EMR-223</t>
  </si>
  <si>
    <t>Z2G-PPC not working. Lights change but not actuating.</t>
  </si>
  <si>
    <t>EMR-224</t>
  </si>
  <si>
    <t xml:space="preserve">Pump #2 outlet check valve not working. </t>
  </si>
  <si>
    <t xml:space="preserve">Cannibalized check valve from CELL8. </t>
  </si>
  <si>
    <t>EMR-225</t>
  </si>
  <si>
    <t xml:space="preserve">Cannibalized Pump #2 Check Valve to use in CELL21. </t>
  </si>
  <si>
    <t>CANNIBALIZED</t>
  </si>
  <si>
    <t>EMR-226</t>
  </si>
  <si>
    <t xml:space="preserve">Valve on Port F was leaking at the stem. </t>
  </si>
  <si>
    <t xml:space="preserve">Cannibalized valve assembly from Port F on CELL8. </t>
  </si>
  <si>
    <t>EMR-227</t>
  </si>
  <si>
    <t>Cannibalized Port F PIV valve assembly for use on CELL21. (reference EMR-226)</t>
  </si>
  <si>
    <t>EMR-228</t>
  </si>
  <si>
    <t>Possible short resulting in significant damage to wiring terminals. _x000D_
This failure occurred during the temperature swings of Test Plan 103-17.</t>
  </si>
  <si>
    <t>External pump required for pressures &gt;38 KSI</t>
  </si>
  <si>
    <t>Unable to use Pump 2</t>
  </si>
  <si>
    <t>Unable to use Pump 3</t>
  </si>
  <si>
    <t>Unable to use Pump 4</t>
  </si>
  <si>
    <t>Unable to use Pump 5</t>
  </si>
  <si>
    <t>Unable to use Pump 1.</t>
  </si>
  <si>
    <t>Unable to regulate hydrualic pumps</t>
  </si>
  <si>
    <t xml:space="preserve">CAE needs to re-wire the power switch._x000D_
9/14/17: The label has been rotated on the switch to reflect the correct switch. Re-wiring not required._x000D_
</t>
  </si>
  <si>
    <t>Troubleshooting In-Work_x000D_
9/13/2017: Adjusted the offset and span.</t>
  </si>
  <si>
    <t>EMR-229</t>
  </si>
  <si>
    <t>Watlow controller is not installed.</t>
  </si>
  <si>
    <t>Troubleshooting. Possibly defective PPC._x000D_
CAE to investigate and R&amp;R as needed._x000D_
9/14/17: Replaced the PPC. Problem resolved.</t>
  </si>
  <si>
    <t>CAE to repair the executive override key. _x000D_
9/14/17: Realigned tumbler. Key is operational.</t>
  </si>
  <si>
    <t>Pending. DO NOT USE PORT E for test._x000D_
9/15/2017: Removed and replaced the PPC. Defective PPC removed from service. Port E is operational.</t>
  </si>
  <si>
    <t>EMR-230</t>
  </si>
  <si>
    <t>Pump P3 does not function.  The pump functioned with no issues previously (TP102-17).</t>
  </si>
  <si>
    <t>Manifold Door Safety Interlock</t>
  </si>
  <si>
    <t>EMR-231</t>
  </si>
  <si>
    <t>Manifold door safety interlock is not functioning. Receiving an indication on the HMI that the manifold room door is not locked (key engaged) when the key is engaged. As a result, the pumps are inhibited and unable to provide pressure to the manifold. _x000D_
The Manifold Room Safety Interlock worked previously during TP102-17 for CELL16 back in August._x000D_
_x000D_
CELL16 is Not Operational.</t>
  </si>
  <si>
    <t xml:space="preserve">Pump 5 Muffler needs to be replaced._x000D_
Muffler replaced week of 9/18/17. </t>
  </si>
  <si>
    <t>Console Computer</t>
  </si>
  <si>
    <t>EMR-232</t>
  </si>
  <si>
    <t>Two issues:_x000D_
-system reboots whenever a USB drive is inserted._x000D_
-system occasionally (auto) reboots following power-up. The PC power supply is suspect.</t>
  </si>
  <si>
    <t>EMR-233</t>
  </si>
  <si>
    <t xml:space="preserve">PPC not providing pressure output. _x000D_
This is a recently installed (October, 2017) 150 psi model PPC.  _x000D_
</t>
  </si>
  <si>
    <t>PPC has been removed and replaced with spare PPC. _x000D_
The defective PPC needs to be sent back to the MFR under warranty. CAE to check on warranty.</t>
  </si>
  <si>
    <t>CELLS (7-8)_(15-22)</t>
  </si>
  <si>
    <t>EMR-234</t>
  </si>
  <si>
    <t>Memory leak.</t>
  </si>
  <si>
    <t>PC anomalies may result in loss of manifold control and loss of data visibility.</t>
  </si>
  <si>
    <t xml:space="preserve">Wiring was corrected by John Amstadt. </t>
  </si>
  <si>
    <t>EMR-235</t>
  </si>
  <si>
    <t>Valve leaks when closed. Possible contamination.</t>
  </si>
  <si>
    <t>EMR-236</t>
  </si>
  <si>
    <t>Valve assembly (Z1B-PIV) cannibalized for use on CELL17. Reference EMR 235.</t>
  </si>
  <si>
    <t>Russells Unit-4</t>
  </si>
  <si>
    <t>Russells Unit-5</t>
  </si>
  <si>
    <t>Russells Unit-6</t>
  </si>
  <si>
    <t>Russells Unit-7</t>
  </si>
  <si>
    <t>Russells Unit-8</t>
  </si>
  <si>
    <t>EMR-237</t>
  </si>
  <si>
    <t>Power plug installation required to make compatible with the HCTC manifold room power receptacles._x000D_
Crouse-Hinds APJ6485 3-Wire/4-Pole Arktite Heavy-Duty Circuit Breaking Plug. _x000D_
The Russells Units are rated  for: FLA 32</t>
  </si>
  <si>
    <t>EMR-238</t>
  </si>
  <si>
    <t>EMR-239</t>
  </si>
  <si>
    <t>Power plug installation required to make compatible with the HCTC manifold room power receptacles._x000D_
Crouse-Hinds APJ6485 3-Wire/4-Pole Arktite Heavy-Duty Circuit Breaking Plug. _x000D_
The Russells Units are rated  for: FLA 32 AMP</t>
  </si>
  <si>
    <t>EMR-240</t>
  </si>
  <si>
    <t>System Modification</t>
  </si>
  <si>
    <t>System Installation</t>
  </si>
  <si>
    <t>480VAC Electrical Service</t>
  </si>
  <si>
    <t>TEST REQUIREMENT</t>
  </si>
  <si>
    <t>Electrical Service</t>
  </si>
  <si>
    <t>EMR-241</t>
  </si>
  <si>
    <t>Dennis Miller</t>
  </si>
  <si>
    <t xml:space="preserve">480 vac wiring interface to Rotork Actuator._x000D_
from Dennis Miller: We need some support wiring a Rotork Actuator to a 480 vac receptacle for an upcoming test.  </t>
  </si>
  <si>
    <t>Tescom 30K Pressure Regulator</t>
  </si>
  <si>
    <t>EMR-242</t>
  </si>
  <si>
    <t xml:space="preserve">Pump &amp; Dump code is not working. </t>
  </si>
  <si>
    <t>EMR-243</t>
  </si>
  <si>
    <t>Regulator does not vent. Failure occurred after approximately 1000 cycles.</t>
  </si>
  <si>
    <t xml:space="preserve">11/17/2017:This work order was completed. </t>
  </si>
  <si>
    <t xml:space="preserve">5K Accumulator Rack </t>
  </si>
  <si>
    <t>EMR-244</t>
  </si>
  <si>
    <t>Isolation valve broken.</t>
  </si>
  <si>
    <t>Camera (Bunker)</t>
  </si>
  <si>
    <t>Camera (Manifold Room)</t>
  </si>
  <si>
    <t>Camera (Drilling Pit)</t>
  </si>
  <si>
    <t>Camera System</t>
  </si>
  <si>
    <t>EMR-245</t>
  </si>
  <si>
    <t>Camera PC not working.</t>
  </si>
  <si>
    <t xml:space="preserve">Data Acquisition </t>
  </si>
  <si>
    <t>DAQ-CTRL System</t>
  </si>
  <si>
    <t>EMR-246</t>
  </si>
  <si>
    <t>Bemco interface not working on the PC.</t>
  </si>
  <si>
    <t>EMR-247</t>
  </si>
  <si>
    <t>Robert Frenzel</t>
  </si>
  <si>
    <t xml:space="preserve">Frenzel: Bunker cRIO is losing communication with TCU under certain conditions.There have been at least 3 incidents of this on different bunkers._x000D_
</t>
  </si>
  <si>
    <t>EMR-248</t>
  </si>
  <si>
    <t>12-25-2017 (Dale): checked on test on Monday, 25 Dec. Both the temperature and pressure charts were reading the year December 31, 1903. Changed date on right side of chart first, then left side to get the current day only. It happened again when clicking on Autoscroll. _x000D_
12-29-2017 (Dale): Had to reboot the computer because we were unable to manipulate graph.</t>
  </si>
  <si>
    <t>PTM1</t>
  </si>
  <si>
    <t>PTM2</t>
  </si>
  <si>
    <t>EMR-249</t>
  </si>
  <si>
    <t>Battery pack/system (UPS) will not power up.</t>
  </si>
  <si>
    <t>Wires will need to be reattached. A more robust method of attaching the wires needs to be implemented._x000D_
12/12/18: Oscar from (Houston North) installed replacement heaters. Heater model number 3-32-4702-2 from Heat and Sensor Technologies, LLC.  Specs: .315" diameter tubular, 240V, 4000 W. EMR to remain open until the unit is tested. _x000D_
01/02/2018: Bob Frenzel completed the Equipment Start-up Checklist for Russells Unit #3. The unit is operational. EMR-208 is Closed.</t>
  </si>
  <si>
    <t>MODIFICATION or UPGRADE</t>
  </si>
  <si>
    <t>Wires will need to be reattached. A more robust method of attaching the wires needs to be implemented._x000D_
An EQUIPMENT MALFUNCTION REPORT( EMR-208 ) has been Updated for: Russells Unit-3 (STATUS: OPEN)_x000D_
_x000D_
12/12/17: _x000D_
Oscar from (Houston North) installed replacement heaters. _x000D_
Heater model number 3-32-4702-2 from Heat and Sensor Technologies, LLC.  _x000D_
Specs: .315" diameter tubular, 240V, 4000 W. _x000D_
EMR to remain open until the unit is tested. (following power cable and plug installation)_x000D_
1/03/18: Bob Frenzel completed the Equipment Start-up Checklist for Russells Unit #1. The unit is operational. EMR-207 is Closed.</t>
  </si>
  <si>
    <t xml:space="preserve">Regulator removed from manifold. Tescom and Hatfield &amp; Company have been notified. If under warranty, it will be shipped back for analysis and repair._x000D_
12/8/17:The regulator has been shipped back to TESCOM for analysis and repair. The EMR will remain open until root cause and repair is complete._x000D_
1/9/18:  Root cause from Emerson TIR RQF031: It appears the main valve experienced some sort of fatigue and/or quick impact which caused the connector_x000D_
to break off of the main valve. This broken connector prevented the outlet to vent when outlet was above_x000D_
set-point._x000D_
Corrective actions: 17-4 main valve material was replaced with Nitronic 60 material. _x000D_
</t>
  </si>
  <si>
    <t xml:space="preserve">9/7/2017: With the help of John Amstadt (Erdosmiller) the wires were rerouted to the appropiate locations. The labels were updated on the bunker connector cables B5 and B7. CAE must update the remaining labels on the bunker connector panels and in the  bunker side control box. The EMR will remain open until the re-labeling is complete. </t>
  </si>
  <si>
    <t xml:space="preserve">Replacement valve required. _x000D_
Information on valve body: Flutec, 5000 psi, KHB-25NPT-1314 11X_x000D_
1/9/2018: Requisition submitted for replacement ball valve. (Stauff, 1" Ball Valve, female NPT, rated 6000 psi)_x000D_
1/15/2018: Five replacement valves received from Stauff valve distributer (Wilson Company). Accumuator valve to be replaced. The remaining spares will be kept in the Hyperbaric Chamber (HYP) cell since the HBC uses the same valve on its manifold. </t>
  </si>
  <si>
    <t>PRIORITY</t>
  </si>
  <si>
    <t>EMR-250</t>
  </si>
  <si>
    <t xml:space="preserve">(Bob Frenzel): cRIO will not connect to any TCU. Suspect bad serial I/O port on cRIO._x000D_
Had good connection previous to incident where connection was lost to two TCUs at the same time. _x000D_
Attempted to recover communication by restarting the TCUs and cRIO._x000D_
Have not been able to connect to any TCU since._x000D_
</t>
  </si>
  <si>
    <t>3</t>
  </si>
  <si>
    <t>DAQ-CTRL System Serial Interface</t>
  </si>
  <si>
    <t>DAQ-CTRL System Analog Interface</t>
  </si>
  <si>
    <t>DAQ-CTRL System Software</t>
  </si>
  <si>
    <t>DAQ-CTRL System Digital Interface</t>
  </si>
  <si>
    <t>ASSIGNMENT</t>
  </si>
  <si>
    <t>HCTC Maintenance</t>
  </si>
  <si>
    <t>DAQ-CTRL System I/O</t>
  </si>
  <si>
    <t>EMR-251</t>
  </si>
  <si>
    <t>(Dale Pomeroy): Had to shut down via task manager and reboot due to valves not operating. Graph also was blank._x000D_
 After reboot, all valves seems of again.</t>
  </si>
  <si>
    <t>2</t>
  </si>
  <si>
    <t xml:space="preserve">1-2-2018 (Dowd): R&amp;R if troubleshooting does not correct the problem. Spare UPS is available for R&amp;R. (the spare UPS is in the Systems office.)_x000D_
_x000D_
1-15-2018: UPS R&amp;R by Anthony Ramos. The failed UPS will be discarded. EMR-249 is Closed._x000D_
</t>
  </si>
  <si>
    <t>EMR-252</t>
  </si>
  <si>
    <t>Removed (cannibalized) ALL Pressure control transducers (4-20mA) from the manifold for installation on CELL8 manifold. The sensors are required for CELL8 SIT. They will be re-installed at CELL22 after the completion of the CELL8 SIT._x000D_
_x000D_
CELL 22 IS NOT OPERATIONAL.</t>
  </si>
  <si>
    <t>EMR-253</t>
  </si>
  <si>
    <t xml:space="preserve">Wiring sequence in bunker 8, 30A disconnect is 1,3,2 instead of 3,2,1._x000D_
Verified against reference TCU._x000D_
</t>
  </si>
  <si>
    <t>H-10</t>
  </si>
  <si>
    <t>EMR-254</t>
  </si>
  <si>
    <t xml:space="preserve">The existing power plug needs to be replaced with 60A plug that is compatible with the HCTC disconnects._x000D_
When replacement is complete, the unit must be checked for rotation._x000D_
This is system modification action. </t>
  </si>
  <si>
    <t>VM Manifold-1</t>
  </si>
  <si>
    <t>VM Manifold-2</t>
  </si>
  <si>
    <t>EMR-255</t>
  </si>
  <si>
    <t>The shop air supply ball valves in each of the manifold rooms can be inadvertantly opened. This model ball valve handle does not have a locking tab.</t>
  </si>
  <si>
    <t>Gas Booster G-15</t>
  </si>
  <si>
    <t>EMR-256</t>
  </si>
  <si>
    <t xml:space="preserve">Hammond Bunker (CELL10) manifold gas booster reported defective by the CAE contractors. </t>
  </si>
  <si>
    <t xml:space="preserve">Pump #2 Check Valve must be replaced in CELL8. _x000D_
1/25/18: Check valve replaced._x000D_
</t>
  </si>
  <si>
    <t>Replace Port F PIV valve assembly on CELL8. _x000D_
1/25/18: replaced.</t>
  </si>
  <si>
    <t>Bartech 75kW Heating Console</t>
  </si>
  <si>
    <t>Bartech 35kW Heating Console</t>
  </si>
  <si>
    <t>EMR-257</t>
  </si>
  <si>
    <t>No input signal from the door latch. Wiring in connector may be wrong.</t>
  </si>
  <si>
    <t>CAE</t>
  </si>
  <si>
    <t>EMR-258</t>
  </si>
  <si>
    <t>Signal reading 2mA. Should read 4mA on baseline.</t>
  </si>
  <si>
    <t>Correct wiring to 3,2,1._x000D_
1/24/2018: Pat/Rigo we corrected the polarity of the disconnect box.</t>
  </si>
  <si>
    <t xml:space="preserve">1/25/2018: In progress._x000D_
1/26/2018: I (Patrick Hooten) replaced the 100amp plug with a new 60amp plug. </t>
  </si>
  <si>
    <t>EMR-259</t>
  </si>
  <si>
    <t>Camera PC BitLocker drive is locked out. Unable to use camera system.</t>
  </si>
  <si>
    <t>CSZ Thermal Chamber</t>
  </si>
  <si>
    <t>EMR-260</t>
  </si>
  <si>
    <t>Carl Haenel: Alarm set and shut the unit down overnight during cold test. Reset and within a few hours the unit shut down again.</t>
  </si>
  <si>
    <t>Carl Haenel: Called EMS to repair. System reading High/Low discharge pressures (refrigerent). Adjustments were made by increasing flow rates. System has worked fine since. Once we get a break in testing. EMS stated we will need to call them back out to fine tune system setpoints. Unit will need to be run at -40F.</t>
  </si>
  <si>
    <t>UNDER/OVER PRESSURE</t>
  </si>
  <si>
    <t>EMR-261</t>
  </si>
  <si>
    <t xml:space="preserve">Robert Frenzel: Bunker 21 was missed when CAE came to seal the transducer connectors._x000D_
Water got into a transducer and caused an error. The transducer was reading several thousand psi when there was none._x000D_
_x000D_
_x000D_
</t>
  </si>
  <si>
    <t>EMR-262</t>
  </si>
  <si>
    <t>Hydro pump P4 max out at 22,700 psi then bypasses the internal check. The working pressure for P4 should be 38,400 psi.</t>
  </si>
  <si>
    <t>EMR-263</t>
  </si>
  <si>
    <t>Vent-1-PT and Vent-2-PT transducers have been swapped. It appears the cable terminations for these two transducers are reversed.</t>
  </si>
  <si>
    <t>IT</t>
  </si>
  <si>
    <t>Russells Technical Products, Inc.</t>
  </si>
  <si>
    <t>Control Pod (PIT1)</t>
  </si>
  <si>
    <t>Control Pod (PIT2)</t>
  </si>
  <si>
    <t>Control Pod (PIT3)</t>
  </si>
  <si>
    <t>Control Pod (PIT4)</t>
  </si>
  <si>
    <t>Control Pod (PIT5)</t>
  </si>
  <si>
    <t>Cranes</t>
  </si>
  <si>
    <t>W.C. 3035</t>
  </si>
  <si>
    <t xml:space="preserve">Neal Geisler </t>
  </si>
  <si>
    <t>EMR-264</t>
  </si>
  <si>
    <t>Neal: Crane cut off during a lift . Changed the batteries and still not coming on . Tried the master control in the tool room , crane still does not come on . I have a load suspended on the crane at this time .</t>
  </si>
  <si>
    <t>1</t>
  </si>
  <si>
    <t>Computer Console UPS</t>
  </si>
  <si>
    <t>EMR-265</t>
  </si>
  <si>
    <t>UPS failed in the computer console station resulting in a battery mode for the CamDaq 2 UPS. Also significant observed when the CamDaq 2 UPS was plugged into the 120 VAC receptacle via extension cord.</t>
  </si>
  <si>
    <t xml:space="preserve">CamDaq 2 UPS was plugged into the PIT4 console UPS. One bank on the UPS failed, putting the CamDaq UPS in battery mode. The CamDaq UPS was then plugged into a PIT4 120 VAC receptacle via an extension cord. Significant noise was observed in the sensor data on the CamDaq DAQ screen. The CamDaq 2 UPS was then plugged into the one remaining bank and the noise levels were reduced._x000D_
_x000D_
Recommendations:_x000D_
CamDaq UPS should be plugged directly into the 120 VAC without an extension cord._x000D_
Clean power 120 VAC receptacles do not appear to be at any of the PIT locations. Clean power is recommended for the DAQ/CTRL systems regardless of the UPS._x000D_
</t>
  </si>
  <si>
    <t>C-Automation</t>
  </si>
  <si>
    <t xml:space="preserve">Manifold </t>
  </si>
  <si>
    <t>EMR-266</t>
  </si>
  <si>
    <t>O-ring on SAE flange on main supply line to pod failed.</t>
  </si>
  <si>
    <t xml:space="preserve">Carl Haenel:  I have called C-Automation and are currently repairing as of 10:30am 2-1-18._x000D_
2/1/18 at 1231 hrs:  (Carl Haenel) The O-ring was repaired and we are back up and running. </t>
  </si>
  <si>
    <t>EMR-267</t>
  </si>
  <si>
    <t xml:space="preserve"> Leaking Tescom regulator on function B.</t>
  </si>
  <si>
    <t>C-Automation to repair regulator.</t>
  </si>
  <si>
    <t>Submersible Sump Pump</t>
  </si>
  <si>
    <t>EMR-268</t>
  </si>
  <si>
    <t>Pump leaking from housing.</t>
  </si>
  <si>
    <t>Shop Air Compressor (VS 170)</t>
  </si>
  <si>
    <t>Shop Air Compressor</t>
  </si>
  <si>
    <t>W.C.1914</t>
  </si>
  <si>
    <t>EMR-269</t>
  </si>
  <si>
    <t>Shutdown. Fault #71._x000D_
The shutdown resulted in decreasing air supply pressure to the Medium Bay manifolds.</t>
  </si>
  <si>
    <t>IT support may be required if it is a PC or network issue. _x000D_
2/6/2018: EMR addressed sometime in December, 2017.</t>
  </si>
  <si>
    <t>DAQ System Enclosures</t>
  </si>
  <si>
    <t>Medium Bay  Test Cells</t>
  </si>
  <si>
    <t>EMR-270</t>
  </si>
  <si>
    <t>Water leak resulted in cRIO cabinet filled with water approx. 1/2” deep.</t>
  </si>
  <si>
    <t xml:space="preserve">Drill drain hole to drain water and dry out._x000D_
Apply TCU for 2 days to dry wiring harnesses and cable runs._x000D_
_x000D_
Recommendations/Lessons Learned:_x000D_
-following a leak event, that occurs near an enclosure, inspect enclosure to ensure no water entry._x000D_
-as part of the post-test inspections, inspect enclosures to ensure no water entry occured during testing._x000D_
-as part of the pre-test or periodic inspections, verify enclosure doors have good seals and that they are secured._x000D_
-if possible, drill drain holes in enclosures._x000D_
</t>
  </si>
  <si>
    <t>All HCTC Test Locations</t>
  </si>
  <si>
    <t>EMR-271</t>
  </si>
  <si>
    <t xml:space="preserve">IP test bunker cameras disabled facility wide._x000D_
Client viewers at each workstation are unable to access the cameras._x000D_
All of these cameras are down simultaneously after an update push and restart._x000D_
</t>
  </si>
  <si>
    <t xml:space="preserve">IT Ticket number INC000019952867 submitted by Robert Frenzel on 2/7/2018._x000D_
_x000D_
2/7/18 (Frenzel): Camera server has been identified and the correct buttons pressed._x000D_
A Server reset was required after a system update push and failure to restart properly._x000D_
Noted for future reference._x000D_
A SLB IT security specialist (Carl Steinberg) recommended we put the cameras on a vlan and isolate them from SINet._x000D_
</t>
  </si>
  <si>
    <t>EMR-272</t>
  </si>
  <si>
    <t>Effron Tillman</t>
  </si>
  <si>
    <t xml:space="preserve"> On the control pod in pit 3, the regulator stem broke not allowing us to use any of the controls.</t>
  </si>
  <si>
    <t>Medium Bay</t>
  </si>
  <si>
    <t>High Bay</t>
  </si>
  <si>
    <t>Low Bay</t>
  </si>
  <si>
    <t>HCTC BAY</t>
  </si>
  <si>
    <t>Beam A10</t>
  </si>
  <si>
    <t>Beam B10</t>
  </si>
  <si>
    <t>Air Supply Pressure Switch</t>
  </si>
  <si>
    <t>Digital Pressure Switch</t>
  </si>
  <si>
    <t>EMR-273</t>
  </si>
  <si>
    <t>Intermittent operation. Display flashing on and off.</t>
  </si>
  <si>
    <t>EMR-274</t>
  </si>
  <si>
    <t>HYTORC 2-3/8” Head for XLCT 8  _x000D_
The head of the torque wrench isn’t properly clicking. Also when I took the piston off the head, I saw a bunch of metal shavings inside.</t>
  </si>
  <si>
    <t>Hytorc</t>
  </si>
  <si>
    <t>UPS SMT2200 (AP9613)</t>
  </si>
  <si>
    <t>EMR-275</t>
  </si>
  <si>
    <t xml:space="preserve">Facility received a power surge and resulting in a DAQ reset causing a reset of all test information. Unable to reload the saved configuration file so had to bleed off pressure and recreate a new test configuration file._x000D_
This incident occurred in the middle of a pressure hold._x000D_
UPS failure. </t>
  </si>
  <si>
    <t>UPS</t>
  </si>
  <si>
    <t>EMR-276</t>
  </si>
  <si>
    <t xml:space="preserve">Regulator set to 600psi and shot to 4k over pressuring hydraulic circuit </t>
  </si>
  <si>
    <t>C-Automation disassembled tescom regulator and did not find any issues. Also blew out ER5000 with air. Reassembled and have not had an issue since. Still not sure what caused the issue.</t>
  </si>
  <si>
    <t>EMR-277</t>
  </si>
  <si>
    <t xml:space="preserve"> Install RS 485 communication port in control room, cell 16</t>
  </si>
  <si>
    <t xml:space="preserve">2/1/18 as of 0830 hrs: HCTC Maintenance troubleshooting._x000D_
2/13/2018 (Patrick Hooten): Crane company came out and found a blown fuse in the remote control box. Complete._x000D_
</t>
  </si>
  <si>
    <t>PITS (1-5)</t>
  </si>
  <si>
    <t>EMR-278</t>
  </si>
  <si>
    <t xml:space="preserve"> Need a nitrogen hose ran from the source up on wall down to Pit 6. </t>
  </si>
  <si>
    <t>EMR-279</t>
  </si>
  <si>
    <t>Bleed on PORT A was started simultaneously with PORT C (from 10,500 psi down to 1500 psi in 30 mins, then 1500 psi down to 0 psi in 240 mins). Port B did well on both stages. PORT A flat lined at 1500 psi and did not continiue on 2nd stage of bleed. Had to stop the bleed, restarted 2x to get it to go down.</t>
  </si>
  <si>
    <t>HCTC Systems Group</t>
  </si>
  <si>
    <t>Valve assembly (Z1B-PIV) cannibalized for use on CELL17. Reference EMR 235._x000D_
Closed in late 2017.</t>
  </si>
  <si>
    <t>Closed in December 2017 or early January 2018</t>
  </si>
  <si>
    <t>Erdosmiller notified._x000D_
2/15/2018: Address by software update in Dec 2017. Closed.</t>
  </si>
  <si>
    <t xml:space="preserve">ErdosMiller has identified a communication conflict on the RS485 bus that may require reprogramming to resolve._x000D_
Issue resolved. Closed._x000D_
</t>
  </si>
  <si>
    <t xml:space="preserve">11/16/17: Vendor (Stealth.com) suggested repeating the failure to isolate root cause. Attempts to repeat the anomaly were not successful. Gathered information from the Windows event logger at the time of the last reboot event. Will send that info to the vendor for review. According to the event logs the PC has been on for &gt;7 days (since 11/9/17) without a sudden power loss or reboot. Troubleshooting still in-work. _x000D_
_x000D_
2/15/2018: No other occurrences reported. EMR Closed._x000D_
</t>
  </si>
  <si>
    <t xml:space="preserve">The sensors will be re-installed at CELL22 after the completion of the CELL8 SIT. _x000D_
The sensors are marked to ensure they will be installed at their original locations (ports) when they are re-installed in CELL22._x000D_
2/15/2018: sensors were re-installed following CELL8 SIT. </t>
  </si>
  <si>
    <t xml:space="preserve">Contact IT for support._x000D_
1/31/2018: IT ticket INC000019917517._x000D_
</t>
  </si>
  <si>
    <t xml:space="preserve">HCTC Maintenance to disassembly to check and replace gaskets/seals. _x000D_
2/6/2018 (Hooten): Pump was leaking between the pump housing and the motor housing. We removed the pump housing and cleaned the mating surfaces. We then put 515 Gasket Eliminator on those surfaces and bolted them back together. </t>
  </si>
  <si>
    <t xml:space="preserve">HCTC Maintenance to troubleshoot and conduct corrective action(s). _x000D_
2/6/2018 (Rigo): Shutdown #102 is a Drive 1Fault-Main motor VFD ha shutdown and to check the main motor VFD operation. The # 71 Fault is in the drive manufacturer book and that was related to a cooling fan inside the VFD. _x000D_
The last time we had this issue Pat and I  assisted the electrician in removing the VFD and replacing all five internal drive cooling fans, which saved the company $20,000.00 . The dive is now considered obsolete and we may have to do this again._x000D_
I think the high discharge temp fault is actually a false reading due to the fact the thermistor is failing. I took the temperature reading with infrared thermometer and the two temps did not agree and I also was able to place my hand on the heat exchanger. Temperature reading indicated by the compressor thermistor = 179 degrees Fahrenheit, the infrared thermometer read 129 degrees and my hand concurred._x000D_
We are getting price and availability for a new Thermistor from Dan Mar Industries as you are reading this. _x000D_
</t>
  </si>
  <si>
    <t xml:space="preserve">Install RS 485 port_x000D_
2/13/2018 (Frenzel): Complete. Serial port installed._x000D_
</t>
  </si>
  <si>
    <t>(Hernandez): I let Carl and Tim know about it immediately. I believe they called Hytorc already to come and fix it because this is urgent._x000D_
_x000D_
2/15/2018: Head R&amp;R'd via Hytorc.</t>
  </si>
  <si>
    <t>Open EMRs (All Locations)</t>
  </si>
  <si>
    <t>EMR-280</t>
  </si>
  <si>
    <t xml:space="preserve">UPS power loss. Battery drain. _x000D_
Due to quads C15-2 and C12-11 having no power. This could be due to the electricians working on the Waller bunkers, or the recent power outages._x000D_
</t>
  </si>
  <si>
    <t>CONTRACTOR ERROR</t>
  </si>
  <si>
    <t xml:space="preserve">C-Automation resolved the problem by removing the regulator stem from pit 1, and swapping it out with the one that broke in pit 3._x000D_
2/16/2018 (Dowd): The regulator part number is 26-2062D24A250. Rebuild kit is JT389-9119. Rebuild kits ordered for these units._x000D_
This EMR will be closed since an R&amp;R has been done. An EMR will be taken out for Control Pod 1 until the regulator there has been rebuilt._x000D_
</t>
  </si>
  <si>
    <t>EMR-281</t>
  </si>
  <si>
    <t>Tescom regulator (part number 26-2062D24A250) stem cannibalized for use on Control Pod 3. (Ref EMR-272)</t>
  </si>
  <si>
    <t xml:space="preserve">The regulator part number is 26-2062D24A250. Rebuild kit is JT389-9119. Rebuild kits have been ordered for these units._x000D_
The regulator nis to be rebuilt when these kits are received. ETA on kits is 3/2/2018. Attempts will be made to expedite._x000D_
</t>
  </si>
  <si>
    <t>Minimal</t>
  </si>
  <si>
    <t>EMR-282</t>
  </si>
  <si>
    <t xml:space="preserve">RS485 serial port on cRIO not communicating with Bemco TCU. Program was re-started, F4 controller settings were verified. The test was not interrupted to restart the TCU or cRIO._x000D_
</t>
  </si>
  <si>
    <t xml:space="preserve">Replace all existing shop air supply ball valves with balls valves containing the locking (tab) lever. _x000D_
Possibly an option to replace just the handle instead of the entire ball valve._x000D_
2/16/2018 (Ramos): The valves were replaced with the type that have locking levers.  This was done in all the small bunkers.  The ones in the large bunkers are not a risk for this happening because of their location and were not replaced.  If in the future we do see a need to replace the ones in the large bunkers we have spares._x000D_
</t>
  </si>
  <si>
    <t>Notify HCTC maintenance to verify cause and corrective action. Plugged CELL20 console into CELL19 receptacles to re-charge UPS overnight._x000D_
2/16/18: HCTC Maintenance confirmed the breaker was shutoff. Most likely by the electrical contractors working on the Waller Bunkers. Breaker has been reset and power restored. EMR is Closed. UPS has successfully recharged overnight._x000D_
2/16/18(Hooten):I checked the breakers to C15-2 and C12-11. Both were turned off with no lock out/Tag out. I checked both circuits to make sure I would not be turning power on to harm anyone  or thing. I then turned the breakers back on._x000D_
Worked 1hr_x000D_
Lessons Learned: Contractors should communicate their work actions to one or more of the following:  HCTC Maintenance, Bay managers, Tech leads, or HCTC Systems. Preparations can then be made to mitigate impact to testing.</t>
  </si>
  <si>
    <t>EMR-283</t>
  </si>
  <si>
    <t>EMR-284</t>
  </si>
  <si>
    <t xml:space="preserve">Regulator leaking from body (S/N 01872621)._x000D_
(SAME PROBLEM AS EMR-283)_x000D_
This is a newly purchased regulator. This was a first time installation and use of the regulator. _x000D_
Installed another regulator to resume testing. _x000D_
</t>
  </si>
  <si>
    <t>Regulator leaking from body (S/N 0182618)._x000D_
This is a newly purchased regulator. This was a first time installation and use of the regulator._x000D_
Installed another regulator to resume testing.</t>
  </si>
  <si>
    <t>Martin Martinez</t>
  </si>
  <si>
    <t>EMR-285</t>
  </si>
  <si>
    <t xml:space="preserve">PC is losing communication with the CRIO. HMI is not responding to commands. </t>
  </si>
  <si>
    <t>EMR-286</t>
  </si>
  <si>
    <t>Tescom failure on pilot supply failed. Sent full system pressure (5k) to fixture with 3k max rating.</t>
  </si>
  <si>
    <t>Tescom did not have new updated components. C-automation Replaced and rebuilt with correct components. Carl Haenel added a relief valve between tescom and regulator to prevent this from occurring again. Suggestion is to add an adjustable relief valve for now as a protection in all control units.</t>
  </si>
  <si>
    <t>UPS (Tripp-Lite)</t>
  </si>
  <si>
    <t>EMR-287</t>
  </si>
  <si>
    <t>Triplite power supply quit working on CamDaq 7. Possible cause from power surge during power outage.</t>
  </si>
  <si>
    <t>Exchanged with new power supply (UPS) from spares inventory.</t>
  </si>
  <si>
    <t>Pat already aware of necessary work._x000D_
2/21/2018 (Hooten): We have decided it would be safer to use bottles until the line is hard piped.</t>
  </si>
  <si>
    <t>CELLS (1-6)_(23-24)</t>
  </si>
  <si>
    <t>Test Bunker (structure)</t>
  </si>
  <si>
    <t>EMR-288</t>
  </si>
  <si>
    <t>ALL SIDE PANEL ANCHOR BOLTS ARE LOOSE (NEVER TIGHTENED)  _x000D_
_x000D_
Also noted some large anchor bolts loose and manifold room bolts missing.</t>
  </si>
  <si>
    <t>Fab services to be notified for corrective actions.</t>
  </si>
  <si>
    <t>Fab Services</t>
  </si>
  <si>
    <t xml:space="preserve">2/16/2018: Contact vendor (Hatfield and Company) and MFR (Emerson). Most likely return to Emerson for troubleshooting and repair. Hatfield and Company POC is Shawn Guidry (sguidry@hatfieldandcompany.com). _x000D_
_x000D_
2/23/2018: re-tested the unit and determined that the root cause was the tightening of the fittings. They were not providing a good seal. With the fittings sufficiently tightened, the leaks did not occur._x000D_
We will not return the regulators. EMR-283 is Closed._x000D_
_x000D_
_x000D_
</t>
  </si>
  <si>
    <t xml:space="preserve">2/16/2018: Contact vendor (Hatfield and Company) and MFR (Emerson). Most likely return to Emerson for troubleshooting and repair. Hatfield and Company POC is Shawn Guidry (sguidry@hatfieldandcompany.com). _x000D_
_x000D_
2/23/2018: re-tested the unit and determined that the root cause was the tightening of the fittings. They were not providing a good seal. With the fittings sufficiently tightened, the leaks did not occur._x000D_
We will not return the regulators. EMR-284 is Closed._x000D_
_x000D_
_x000D_
</t>
  </si>
  <si>
    <t>Buenaventura Gomez</t>
  </si>
  <si>
    <t>EMR-289</t>
  </si>
  <si>
    <t>While conducting high pressure packer fatigue testing on 18 ¾ -10K DL Annular BOP in pit # 4 (10,000psi) waiting for the pressure to stabilize when suddenly we loss the electrical energy causing the annular bop opened by itself and blowing out lot of water reaching the roof of pit cover door.</t>
  </si>
  <si>
    <t>EMR-290</t>
  </si>
  <si>
    <t>Air pressure down to 0 psi.</t>
  </si>
  <si>
    <t>2/26/2018 (Carl): Got with Pat and Rigo to turn the air compressors back on. They were off from the power outage on Friday (2-23-18) and throwing code for high discharge temp. They changed the thermocouple while the unit was down.</t>
  </si>
  <si>
    <t>POWER LOSS</t>
  </si>
  <si>
    <t>EMR-291</t>
  </si>
  <si>
    <t>Date on graph screen reset to year 1903. Technician had to restart PC to restore date.</t>
  </si>
  <si>
    <t>WC-3042 (Crane)</t>
  </si>
  <si>
    <t>EMR-292</t>
  </si>
  <si>
    <t>Do not have UP function.  East, West, North, South, and Down functions are working.</t>
  </si>
  <si>
    <t>Gas Booster AG-303 (5585423-7)</t>
  </si>
  <si>
    <t>EMR-293</t>
  </si>
  <si>
    <t>5585423-7</t>
  </si>
  <si>
    <t>Gas booster not cycling. No pressure.</t>
  </si>
  <si>
    <t>EMR-294</t>
  </si>
  <si>
    <t>Unit will not run.  Alarm ( SYS1 HILO PSI)</t>
  </si>
  <si>
    <t>HCTC Maintenance notified. _x000D_
2/27/2018: Reset the power and the error cleared. EMR. Closed.</t>
  </si>
  <si>
    <t>EMR-295</t>
  </si>
  <si>
    <t>O2 Sensor (PIT4)</t>
  </si>
  <si>
    <t>EMR-296</t>
  </si>
  <si>
    <t xml:space="preserve">At 7:30 oxygen reading sensor not working. Not displaying values. Audible alarm operates erratically. </t>
  </si>
  <si>
    <t xml:space="preserve">CAE to complete injecting silicone into unsealed connectors._x000D_
3/5/18: Completed._x000D_
_x000D_
</t>
  </si>
  <si>
    <t xml:space="preserve">Pressure switch is to be removed and replaced. Spares to be ordered from Automation Direct. _x000D_
Troubleshooting root cause._x000D_
2/13/2018: Root cause is loose wire connection. Wires reset. Pressure switch was not R&amp;R'd._x000D_
2/19/2018: EMR re-opened. Issue continues despite wiring adjustments._x000D_
3/5/2018:Ferrules were omitted from wiring terminations causing shorts. +24VDC supply lead broken/disconnected. Ferrules added to all terminations and the broken supply wire was repaired. Completed._x000D_
</t>
  </si>
  <si>
    <t>HYDAC Ball Valve (KMH3H)</t>
  </si>
  <si>
    <t>DC-1</t>
  </si>
  <si>
    <t>DC-2</t>
  </si>
  <si>
    <t>DC-3</t>
  </si>
  <si>
    <t>DC-4</t>
  </si>
  <si>
    <t>DC-5</t>
  </si>
  <si>
    <t>EMR-297</t>
  </si>
  <si>
    <t>Josh Krobot</t>
  </si>
  <si>
    <t xml:space="preserve">When pressure is applied to one side of the 2” Hydac ball valve it become extremely difficult to open. When you apply force to the ball valve handle it begins to bend and twist at the connection to the stem, and if enough force is applied the handle breaks off. The stem is also twisting and the only way to open the ball valve is to apply back pressure to the valve to lessen the pressure differential. Seats also wash out and begin leaking fairly quickly. </t>
  </si>
  <si>
    <t>CAE to troubleshoot/repair when they return to the HCTC in February._x000D_
2/15/2018: CAE to check week of 2/26._x000D_
3/5/2018: John Amstadt made a code modification. Door open indication now appears when it should. EMR Closed.</t>
  </si>
  <si>
    <t>EMR-298</t>
  </si>
  <si>
    <t>Regulator failure. Unable to pressure up. Test stopped as a result.</t>
  </si>
  <si>
    <t>EMR-299</t>
  </si>
  <si>
    <t xml:space="preserve">Bunker door control box fuse is blown. </t>
  </si>
  <si>
    <t>Check Valve (CKO9900)</t>
  </si>
  <si>
    <t>EMR-300</t>
  </si>
  <si>
    <t>CELL17 check valve (CKO9900) is leaking at Z3-LQD-PT2.</t>
  </si>
  <si>
    <t>Check Valve</t>
  </si>
  <si>
    <t>EMR-301</t>
  </si>
  <si>
    <t>Unable to locate thermocouple certification documents in certs folder. The thermocouple information is captured in the test configuration file but the certifications are no where to be found on the PC or CRIO.</t>
  </si>
  <si>
    <t xml:space="preserve">3/13/18: Fuse to be replaced. Spares on order._x000D_
3/13/18 (HCTC Maintenance): We found a loose wire on the incoming power that we believe is what caused the fuse to blow. Pat and I replaced the fuse and also wrapped electrical tape around the incoming power switch to keep the wire from getting pulled out when the panel door is opened. _x000D_
The proximity switch that shows lock , ( right switch ) was flickering and Pat turned it in 1 ½ turns in to get a steady light._x000D_
Door lock and unlocking is now working.   Rigo / Pat_x000D_
</t>
  </si>
  <si>
    <t>EMR-302</t>
  </si>
  <si>
    <t xml:space="preserve">The PC at pit 1 is locked out due to having been off the network too long._x000D_
Will not allow any login._x000D_
</t>
  </si>
  <si>
    <t>EMR-303</t>
  </si>
  <si>
    <t xml:space="preserve">3/15/2018 (Tyler):  ONLY ONE 50/60 AMP DISCONNECT AVAILABLE AT TEST CELL 13. WILL BE RUNNING PUMP AND BEMCO AT THE SAME TIME- CAN PULL POWER FROM 14 WITH A PROPER EXTENSION BUT 14 WILL BE OUT OF POWER. </t>
  </si>
  <si>
    <t xml:space="preserve">3/16/18 (Dowd): This is an Upgrade request for CELL13 and CELL14: Adding additional 60 AMP disconnects for those CELLS. Should also consider a 100 AMP disconnect. HCTC management would have to approve the funding or we will make the project pay for it._x000D_
_x000D_
3/16/18 (Friedrich): Myself and my electricians will view the additional required services and install to save money._x000D_
We will see what the project details. If materials are required, I will enter a requisition for Dan to approve._x000D_
_x000D_
 </t>
  </si>
  <si>
    <t>Submitted IT ticket._x000D_
3/19/18: IT unlocked the computer. EMR is Closed.</t>
  </si>
  <si>
    <t>EMR-304</t>
  </si>
  <si>
    <t xml:space="preserve">RELIEF VALVE LEAK _x000D_
Relief valve P/N per C-Automation engineering BOM (document number 1957-01-BOM Rev. 00): _x000D_
L5349T-4PP-8250 _x000D_
MFR: CIRCOR_x000D_
1/2" NPT RELIEF VALVE, 316 SST, SET @ 8250 PSI </t>
  </si>
  <si>
    <t>REPLACEMENT IS ON ORDER ALONG WITH REBUILD KITS FOR FUTURE.</t>
  </si>
  <si>
    <t>Triplex Pumps (Drilling Controls)</t>
  </si>
  <si>
    <t>Efrain Martinez</t>
  </si>
  <si>
    <t>EMR-305</t>
  </si>
  <si>
    <t>The plexiglass on the triplex pumps needs to be sealed with sealant, to be air tight. Debris and water can get into the pump with the unsealed plexiglass.</t>
  </si>
  <si>
    <t>Assigned to HCTC maintenance.</t>
  </si>
  <si>
    <t>EMR-306</t>
  </si>
  <si>
    <t xml:space="preserve">This is an Upgrade Maintenance request. _x000D_
Pump Disconnect For Reliability Sump Pump. Install Power Disconnect for Sump Pump Control Box Sump Pump DC-5 (Reliability Bunker)._x000D_
</t>
  </si>
  <si>
    <t>Completed.</t>
  </si>
  <si>
    <t>EMR-307</t>
  </si>
  <si>
    <t>Water filter installation required for the Waller Bunkers (CELLS (1 through 6) and CELLS 23 through 24.</t>
  </si>
  <si>
    <t>Ben Hogan</t>
  </si>
  <si>
    <t>Water Filter (6PAU1)</t>
  </si>
  <si>
    <t>Water Filter</t>
  </si>
  <si>
    <t>Circ_Pump(CRN15-03-A-FGJ-G-V-HQQV)</t>
  </si>
  <si>
    <t>EMR-308</t>
  </si>
  <si>
    <t>Seal on pump are burning out do to N4/return tank creating a vortex when the fluid level gets low than the pump starts sucking air and we lose prime to the pump then the seals get burned out.</t>
  </si>
  <si>
    <t>W.C. 3037 (Crane)</t>
  </si>
  <si>
    <t>PLC (PIT5)</t>
  </si>
  <si>
    <t>EMR-309</t>
  </si>
  <si>
    <t>The fine tune settings on the plc not working after pressure entry it only displays pound sign.</t>
  </si>
  <si>
    <t>EMR-310</t>
  </si>
  <si>
    <t>Crane making some weird noise when trying to use it.</t>
  </si>
  <si>
    <t>Russells Unit-10</t>
  </si>
  <si>
    <t>Russells Unit-9</t>
  </si>
  <si>
    <t>EMR-311</t>
  </si>
  <si>
    <t xml:space="preserve">The three new TCUs need extension cords for operation._x000D_
The plugs on the TCU cabinet use yellow 30A, 480VAC, 3ph Hubbell connectors. These were removed from the Waller TCUs and can be used for extension cords._x000D_
Alternately, cords can be permanently attached to reduce the hazard of exposed power when not connected to the TCUs._x000D_
These were not supplied with the TCUs._x000D_
</t>
  </si>
  <si>
    <t>EMR-312</t>
  </si>
  <si>
    <t>Beam A14</t>
  </si>
  <si>
    <t>EMR-313</t>
  </si>
  <si>
    <t>Russells Unit-11</t>
  </si>
  <si>
    <t>C.J. Dennison</t>
  </si>
  <si>
    <t>EMR-314</t>
  </si>
  <si>
    <t>Bubble port E is not receiving any communication from software.</t>
  </si>
  <si>
    <t xml:space="preserve">Root cause could be one or more of the following: software I/O, PPC failure, valve actuator failure. _x000D_
Trouble shooting in-work._x000D_
_x000D_
</t>
  </si>
  <si>
    <t>Please create 15ft extension cords for these TCUs to be converted to permanently attached cords at a later time._x000D_
3/27/2018: Completed.</t>
  </si>
  <si>
    <t xml:space="preserve"> Please create 15ft extension cords for these TCUs to be converted to permanently attached cords at a later time._x000D_
3/27/2018: Completed.</t>
  </si>
  <si>
    <t>EMR-315</t>
  </si>
  <si>
    <t xml:space="preserve">Engineer reported that the data acquisition rate was not constant. The data acquisition rate varies between 1 and 3 seconds. </t>
  </si>
  <si>
    <t>3/27/18: TDB Inc.(electrical contractor) checked the unit and determined it was a loose connection. It has been repaired. Unit is operational. EMR Closed._x000D_
Note: TDB Inc. did the electricial work for the monitors when they were installed at the Pits.</t>
  </si>
  <si>
    <t>12/12/17 From Oscar Hernandez (Houston North): _x000D_
Chamber #2 will need 3 more heaters and also power terminal blocks need to be replaced ,to be addressed to russells since units still under warranty._x000D_
_x000D_
2/28/2018: Oscar Hernandez (Houston North) replaced the heaters. Unit checked out ok. EMR is Closed._x000D_
3/2/2018: Unit did not check out ok as indicated on 2/28/2018. The following issues were found: _x000D_
We powered up the unit and found a couple of issues._x000D_
1. The heaters are on when the control system is off._x000D_
2. The motor does not run either direction._x000D_
3/29/2018: Repairs and check-out completed. Unit is operational. EMR Closed.</t>
  </si>
  <si>
    <t>EMR-316</t>
  </si>
  <si>
    <t>PPC opens/closes valves just fine for supply/vent but would not scale correctly for PID funtions to use bleed down or setpoint controls.  There could be an issue with the scaling of the internal transducer.</t>
  </si>
  <si>
    <t>Ship the gas booster to Pneumatic and Hydraulic Co.  diagnostics and quote for refurbishment._x000D_
Per the quote, a decision is to be made on either repairing the gas booster or purchasing a new one._x000D_
1/30/18: Shipping form completed to ship to Pneumatic and Hydraulic Co._x000D_
3/2/2018: Received repair quote from P&amp;H. Requisition submitted. P&amp;H service report reads: Upon evaluation_x000D_
of the equipment, the technician found the following: Spool O-ring seized, lube washed out,gas seals worn, large amount of water in air drive._x000D_
4/2/2018: Gas Booster repaired and returned to the HCTC. EMR is Closed.</t>
  </si>
  <si>
    <t>EMR-317</t>
  </si>
  <si>
    <t xml:space="preserve"> Bad aftermarket Network card on Cell 16. Will not communicate.</t>
  </si>
  <si>
    <t>EMR-318</t>
  </si>
  <si>
    <t xml:space="preserve">Unit does not power up. </t>
  </si>
  <si>
    <t>EMR-319</t>
  </si>
  <si>
    <t>Pod open/close Pacseal valve leaking.</t>
  </si>
  <si>
    <t>EMR-320</t>
  </si>
  <si>
    <t xml:space="preserve"> Need power cabling run for test equipment;_x000D_
120VAC, 1ph, &lt;2A_x000D_
480VAC, 3ph, 15A_x000D_
</t>
  </si>
  <si>
    <t xml:space="preserve"> 120VAC 14ga, 2/1 with male plug one end, flying leads other end_x000D_
480VAC, 3ph, 15A, Need compatible plug installed and perhaps extension with socket. _x000D_
Test engineer arriving 4/6 for consultation._x000D_
</t>
  </si>
  <si>
    <t>EMR-321</t>
  </si>
  <si>
    <t xml:space="preserve">SINET data ports 34A and 35A for cell 20 have firewall disabled and reconfigured for a test on cell 19 in error._x000D_
Test 049-18 will use data ports from cell 20 for the duration of the test on cell 19._x000D_
Cell 16 data ports 34A and 35A no longer work with camera clients._x000D_
No permission was given to reconfigure data ports._x000D_
</t>
  </si>
  <si>
    <t xml:space="preserve">Attempting to find replacement. Spare regulator and rebuild kits to be ordered._x000D_
4/10/2018: Installed new regulator._x000D_
</t>
  </si>
  <si>
    <t>I had to change the suction line inside of the N4/return tank so this don’t happen again.  _x000D_
Need to order seal kit P/N 96511845._x000D_
_x000D_
4/9/18: Rebuild kits received.</t>
  </si>
  <si>
    <t>EMR-322</t>
  </si>
  <si>
    <t xml:space="preserve"> Erratic readings on O2 sensor. Reading 19.5 to 20.3 and alarming on and off.</t>
  </si>
  <si>
    <t>HCTC Maintenance action. _x000D_
4/13/2018: Hello Jimmie, Pat and I have run power to the south wall for the pump. Rigo</t>
  </si>
  <si>
    <t>EMR-323</t>
  </si>
  <si>
    <t>Pump by passing and water coming out exhaust while trying to maintain pressure during temp. change-  External  pump needed at Hydro bays.</t>
  </si>
  <si>
    <t xml:space="preserve">We closed immediately HPU manual valves outside and inside and communicate the incident to the person in charge of running the HPU system to resolve the problem. Suggestion to install battery back ups on all pits._x000D_
3/28/18: Hello Jimmy, the power loss issue was fixed on 3-9-2018. A trip module was replaced in the main power disconnect in the white trailer building so the EMR-289 may be closed for the repairing power loss problem. I was wondering if the issue of installing UPS systems for the computers can be possibly made on a new EMR. Rigo_x000D_
</t>
  </si>
  <si>
    <t>EMR-324</t>
  </si>
  <si>
    <t xml:space="preserve"> MISV will not function.  We are still able to use test cell for test that require only one zone.</t>
  </si>
  <si>
    <t>HPU (Drilling Pits)</t>
  </si>
  <si>
    <t>Hydraulic Power Unit</t>
  </si>
  <si>
    <t>EMR-325</t>
  </si>
  <si>
    <t>HPU that runs the 4 pits has a fitting leaking and drained all the fluid out of the tank . This is the second or third time this fitting has leaked .  They just changed this fitting around three weeks ago . Also , the pump needs a low level alarm and shutoff switch . The way it is setup right now , the pump can run with no fluid until it burns up .</t>
  </si>
  <si>
    <t xml:space="preserve">Hydac needs to be informed of the issue and a more robust stem and handle need to be install to all existing ball valve on site. Ball valve repair kits should be ordered which include new seats and o-rings. These need to be kept on hand to replace leaky valves._x000D_
3/6/18 (Carrillo):I have already made contact with the vendor, they are working on getting samples for us to test at HCTC._x000D_
4/18/18 (Frenzel): I recommend we close this EMR due to lack of evidence. The valve has apparently been repaired and replaced and the damaged parts discarded. The manufacturer is asking questions about the condition of the seat to help identify the failure mode that cannot be answered. We aren’t very likely to identify the culprit without a corpus-delecti. We can assign another EMR when it fails next. I am continuing my dialog with the vendor and initiating contact with alternates but there is no point to having an open EMR. When it happens again, we can respond._x000D_
</t>
  </si>
  <si>
    <t xml:space="preserve">C-Automation working on corrective action(s)._x000D_
4/18/2018: Fitting replaced by C-Automation._x000D_
Recommendation and Comments (Frenzel): Process systems prone to vibration or large temperature changes often include a loop in the line.The short piece of tubing in the existing transition is highly stressed because of being attached to a large pipe. A full 360degree loop in the tubing better isolates the vibration and reduces the stress at the connection. In this case, extra space will be needed by shortening other runs and introducing an offset equal to one tubing dia._x000D_
Just a suggestion._x000D_
_x000D_
</t>
  </si>
  <si>
    <t>EMR-326</t>
  </si>
  <si>
    <t>Erratic alarm activation.</t>
  </si>
  <si>
    <t>JS Systems</t>
  </si>
  <si>
    <t>EMR-327</t>
  </si>
  <si>
    <t>Z1-MVLIV not functioning.</t>
  </si>
  <si>
    <t>EMR-328</t>
  </si>
  <si>
    <t>This pump unable to reach 30kpsi.  It stops around 29,700psi.  we were able to reach test pressure by unlatching air solenoid and re initiating allowing pressure to step up in 50 psi increments.  This problem was repeated for each pressure up event.</t>
  </si>
  <si>
    <t>EMR-329</t>
  </si>
  <si>
    <t xml:space="preserve">During testing while recording around 5:30pm the computer froze and lost communication with crio.  We looked at data prior to restarting system and found that recording stopped at 2:16pm from the file that started around 2:00pm.  Test data there was lost._x000D_
After multiple reboots of the computer and crio the problems continued and the msv valves are way out of scale and could not be corrected.  _x000D_
This is the same computer that had a power surge months prior and this could be continued failure from that incident._x000D_
</t>
  </si>
  <si>
    <t>EMR-330</t>
  </si>
  <si>
    <t xml:space="preserve">Console keyboard slide drawer stops are broken. Drawer can pull out of the console causing potential foot injury despite PPE. </t>
  </si>
  <si>
    <t>EMR-331</t>
  </si>
  <si>
    <t>Screen saver automatically engages. Technician loses visibility of test data and cameras during testing. This is a distraction and hazard while running test.</t>
  </si>
  <si>
    <t>EMR-332</t>
  </si>
  <si>
    <t>WIRED WRONG , RUSSELL UNIT RUNS BACKWARDS AND HAS GREEN DOT</t>
  </si>
  <si>
    <t>EMR-333</t>
  </si>
  <si>
    <t>Turning key off does not disable user inputs on manifold as it should.  Recently received a software update that could be the cause.  Not sure if this issue is shared for multiple test locations at this time.</t>
  </si>
  <si>
    <t>Evans Unit (C12-14_16 )</t>
  </si>
  <si>
    <t>Water Reclamation Unit</t>
  </si>
  <si>
    <t>Patrick Hooten</t>
  </si>
  <si>
    <t>EMR-334</t>
  </si>
  <si>
    <t xml:space="preserve"> The Evans unit for this test cell #16 has a leak on the incoming line</t>
  </si>
  <si>
    <t xml:space="preserve"> We found that the PVC 90 had not been glued. We glued the fitting on to the pipe. Complete 4/25/18 </t>
  </si>
  <si>
    <t>EMR-335</t>
  </si>
  <si>
    <t>SAE Flange o-ring for the supply failed.</t>
  </si>
  <si>
    <t>C-automation replaced the o-ring. C-Automation also shifted the POD skid to better align the flange. Retapped threads and installed longer bolts.</t>
  </si>
  <si>
    <t>Maintenance notified._x000D_
4/25/2018 (Hooten): We changed the rotation at the disconnect. Completed</t>
  </si>
  <si>
    <t>EMR-336</t>
  </si>
  <si>
    <t>Dave Mundell</t>
  </si>
  <si>
    <t>Rotark cycling program needs to be uploaded for Test Plan 156-17. The baseline (standard) program is currently installed.</t>
  </si>
  <si>
    <t>Return to CAE for replacement._x000D_
_x000D_
4/26/18: Network card returned for replacement.</t>
  </si>
  <si>
    <t xml:space="preserve">Will need to coordinate with the plumbing contractors for installation of the filters. _x000D_
This is the same make and model used in CELLS(7-8)_(15-22). _x000D_
P/N: 6PAU1_x000D_
Model Number: BSSB10-3/4SD_x000D_
3/22/18: PO 4511856226 issued for the 6PAU1 - FILTER HOUSING._x000D_
_x000D_
4/26/18: Filiters ordered and installation underway by plumbing contractor._x000D_
</t>
  </si>
  <si>
    <t>2/28/2018 (Carl):  I have contacted EMS._x000D_
_x000D_
3/1/2018 (Carl): EMS came out and found the chiller water level was low and air was in the system. There may be a possible leak in the system. EMS has not been able to locate a leak as of now. A solution to this is obviously find the leak but EMS also suggested an auto fill and air relief feature that can be installed. This is common practice in other industries._x000D_
_x000D_
4/26/18: Initial issues addressed in February. Another action will address quote for modifications</t>
  </si>
  <si>
    <t xml:space="preserve">Check UPS function. Remove and replace when possible. Spares currently not available. Check warranty status._x000D_
4/26/18: Warrenty no longer applicable. Spare UPS to be ordered. _x000D_
</t>
  </si>
  <si>
    <t>HCTC Maintenance troubleshooting._x000D_
4/26/18: Maintenance corrective action.</t>
  </si>
  <si>
    <t>Troubleshoot power circuits. Possible blown fuse._x000D_
4/5/18: Replacement relays ordered. Substitute relya provided by HCTC Maintenance.</t>
  </si>
  <si>
    <t>Take H3 offline for troubleshooting and repair. Check for spare pump in J26. _x000D_
4/16/18: Spare pump available for use. H-3 to be bench tested and repaired as needed.</t>
  </si>
  <si>
    <t xml:space="preserve">Watlow controller required. _x000D_
4/26/18: Watlow controller installed. Additional items may be required and will be captured in another EMR._x000D_
</t>
  </si>
  <si>
    <t xml:space="preserve">Valve assembly (Z2H-PIV) removed and replaced with valve assembly from CELL8 (Z1A-PIV)._x000D_
_x000D_
The valve assembly (Z2H-PIV) needs to be disassembled for inspection, cleaning or repair._x000D_
4/26/18: Valve removed in November, 2017. Issue was addressed at that time._x000D_
_x000D_
_x000D_
</t>
  </si>
  <si>
    <t>EMR-337</t>
  </si>
  <si>
    <t xml:space="preserve">Need to have maintenance disconnect power cable to cabinet re-route and reconnect. </t>
  </si>
  <si>
    <t xml:space="preserve">HCTC Maintenance notified._x000D_
Completed._x000D_
</t>
  </si>
  <si>
    <t>EMR-338</t>
  </si>
  <si>
    <t>Courtney Julian</t>
  </si>
  <si>
    <t>(Courtney Julian): We are having some trouble with the data from the CamDAQ- every other row of the entire set of data is blank (see attached image). This is how the data is on my test cell (21) and the same for Andrew’s test cell (16), but I have heard that it is not behaving like this on other test cells.</t>
  </si>
  <si>
    <t>EMR-339</t>
  </si>
  <si>
    <t xml:space="preserve"> CAMDAQ 1 UPS is dead and needs replacement.</t>
  </si>
  <si>
    <t xml:space="preserve">R&amp;R'd with spare. </t>
  </si>
  <si>
    <t xml:space="preserve">Uninterruptible Power Supply (UPS) </t>
  </si>
  <si>
    <t>EMR-340</t>
  </si>
  <si>
    <t xml:space="preserve">Loss of communication (ethernet) between the PC and the CSZ Thermal Chamber console. </t>
  </si>
  <si>
    <t>EMR-341</t>
  </si>
  <si>
    <t>Thane Krile</t>
  </si>
  <si>
    <t xml:space="preserve"> Electrical Outlets in Fire Lab need water resistant covers installed to protect during cool down where spray bar is used.  </t>
  </si>
  <si>
    <t>Electrical Outlets</t>
  </si>
  <si>
    <t>EMR-342</t>
  </si>
  <si>
    <t>(Tyler): Leaking back into Manifold- Manifold bleed to 0 and fixture Isolated with 10 K  building pressure back into manifold and pressure dropping on fixture</t>
  </si>
  <si>
    <t>EMR-343</t>
  </si>
  <si>
    <t xml:space="preserve">Can Have Multiple Bleed windows open on SAME PORT-and can be hidden at bottom of screen so  opening back up you don’t know what one is running and can disrupt bleed profile if close one _x000D_
Or deselect the one that is running._x000D_
</t>
  </si>
  <si>
    <t>CONTRAINT OPTIONS</t>
  </si>
  <si>
    <t>Do Not Use Port</t>
  </si>
  <si>
    <t>Do Not Use Port H. Use Port G if this is a 2 zone test.</t>
  </si>
  <si>
    <t>EMR-344</t>
  </si>
  <si>
    <t>Install the DAQ System Enclosure on the Reliability Bunker (DC-5) wall.</t>
  </si>
  <si>
    <t>Cover (PIT 2)</t>
  </si>
  <si>
    <t>EMR-345</t>
  </si>
  <si>
    <t>The lid for pit 2 is stuck closed about 7/8 of the way . The lights are flashing , but the lid will not move open or close . It looks like one motor is coming on , but not the other.</t>
  </si>
  <si>
    <t>Pit cover must be functional for testing. Corrective action required ASAP.</t>
  </si>
  <si>
    <t>PIT Cover</t>
  </si>
  <si>
    <t>HCTC Maintenance notified._x000D_
5/9/18 (Rigo/Pat): We found that there was a blown fuse on the door that looked like someone had replaced it before. It was a smaller amp fuse than what the unit called for(6amp). We replaced it with a new fuse (8amp). The job is complete. The unit is up and running.</t>
  </si>
  <si>
    <t xml:space="preserve">5/9/18 (Frenzel): This failure is related to the water ingress issue several weeks ago. Since the original report, other valves in this cell have failed progressively. Relay blocks and relays in the electrical enclosures that control these valves are corroding to the point of failure. Replacements parts have been ordered and are pending._x000D_
Test cell 22 has been shut down until further notice. A lock-out-tag-out has been applied._x000D_
_x000D_
The console computer from 22 will be moved to cell 16 so that testing can continue there._x000D_
</t>
  </si>
  <si>
    <t>Unable to communicate Zone 1 and Zone 2 vent lines.</t>
  </si>
  <si>
    <t>EMR-346</t>
  </si>
  <si>
    <t xml:space="preserve">(Krile): Please reverse back the changes made to Cell 15 for the Rotork cycling program done for the 2500 cycle FE test._x000D_
Contact Dennis Miller for questions on the wiring and John A (Erdos Miller) on the programming._x000D_
</t>
  </si>
  <si>
    <t>EMR-347</t>
  </si>
  <si>
    <t xml:space="preserve">Erdosmiller to address the following: Loose and unlabled wires, unsecured DIN rails, Loose and disconnected interface connectors. </t>
  </si>
  <si>
    <t>Rohama Khadija (Erdosmiller)</t>
  </si>
  <si>
    <t>5/10/18: Completed. Closed</t>
  </si>
  <si>
    <t xml:space="preserve">The Screen Saver must be disabled at all test locations. Ticket submitted to IT._x000D_
4/25/18: IT options: 1-For business/safety critical, create exemption in QUEST, where the first approver will be the service application owner (Application that requests no Screensaver running) and the second approver is the Security manager (Andy Holmes EUR,NAF,SCA,SSA - Martisto Satyanaraghana MEA,ASA  - Berris Bramble LAM, NAM)_x000D_
2-purchase (download) the Transparent Screensaver for 50$, it was advised by IT Security End-Point manager. This locks the screen but gives the user visibility on screen activity. _x000D_
Upon these recommendations, IT has closed the ticket (Incident INC000020326398)._x000D_
 _x000D_
5/2/18 (Robert Kercheval): Pits1-5 have screen savers have been disabled. </t>
  </si>
  <si>
    <t>Assigned to HCTC Maintenance._x000D_
_x000D_
4/24/18: Closed.</t>
  </si>
  <si>
    <t>EMR-348</t>
  </si>
  <si>
    <t>5/11/2018 (Haenel): The High pressure Pac-seal regulator leaking from supply plate. I have currently bypassed the regulator to continue testing. Will need seal kits to rebuild.</t>
  </si>
  <si>
    <t>EMR-349</t>
  </si>
  <si>
    <t>Corrupted file, cannot open from CRIO location.  Files not being transferred to pc c drive.  Crio file also contains several unknown (large) files from unknown origin.</t>
  </si>
  <si>
    <t>Reconfigure data port firewall on cell 20 upon completion of 049-18._x000D_
5/16/18 (Dowd): Reconfigure following TP049-18.</t>
  </si>
  <si>
    <t xml:space="preserve"> Need to trouble shoot and find the root cause of issue.
5/16/18: Issue related to the relay corrosion found at CELL22. Relay blocks and relays have been replaced.</t>
  </si>
  <si>
    <t>HCTC Maintenance notified._x000D_
Covers have been purchased and are available in the test cell for maintenance to install.  This should be completed by 5/11/18.  Contact Dennis Miller with any questions. _x000D_
5/15/18: Closed.</t>
  </si>
  <si>
    <t>Carl called C-Automation._x000D_
5/16/18: Closed.</t>
  </si>
  <si>
    <t>EMR-350</t>
  </si>
  <si>
    <t>Access hatch on chamber lid was damaged from release of pressure during temp test. The hatch is still currently usable but has lost a layer of glass.</t>
  </si>
  <si>
    <t>Unable to conduct thermal test if lid is compromised.</t>
  </si>
  <si>
    <t>EMR-351</t>
  </si>
  <si>
    <t xml:space="preserve">5/21/18 (Frenzel): Build fused extension for 480VAC, 3ph, 5A. Need 480VAC, 3ph, 5A fused connection at work bench outside cell 8 manifold room. This is for actuator testing in support of upcoming valve cycle tests._x000D_
</t>
  </si>
  <si>
    <t>HCTC Maintenance Notified.</t>
  </si>
  <si>
    <t>EMR-352</t>
  </si>
  <si>
    <t xml:space="preserve">Reliability bunker cameras not operational. </t>
  </si>
  <si>
    <t>PC</t>
  </si>
  <si>
    <t>PC Monitor</t>
  </si>
  <si>
    <t>EMR-353</t>
  </si>
  <si>
    <t>Install (wall mount) Camera Monitor at DC-5 console.</t>
  </si>
  <si>
    <t>HCTC Maintenance notified._x000D_
Completed.</t>
  </si>
  <si>
    <t xml:space="preserve">Possible loose wire connection. CAE to troubleshoot / repair when they return to the HCTC in February._x000D_
5/23/18: To be investigated and corrected by HCTC personnel. </t>
  </si>
  <si>
    <t>CAE to correct the transducer wiring when they return to the HCTC in February. _x000D_
2/15/2018: Will need to check all CELLS to make sure they are not reversed._x000D_
5/23/18: HCTC Systems to investigate this issue.</t>
  </si>
  <si>
    <t>Ben Hogan notified. _x000D_
5/24/18: Cameras operational.</t>
  </si>
  <si>
    <t>5/25/18: Software now checks if a dialog for the PPC is already open and does not open another. Fixed.</t>
  </si>
  <si>
    <t>5/25/18:  Per Thane: Wait on this	On Hold</t>
  </si>
  <si>
    <t xml:space="preserve">5/25/18: Obtained shell access to cRIO. Discovered that corrupt files had an undisplayable character in the file name (not an ASCII character). Added more intense scrutiny of file name input to prevent special characters. Fixed._x000D_
</t>
  </si>
  <si>
    <t>Temperature Control Unit (mobile)</t>
  </si>
  <si>
    <t>Pump (mobile)</t>
  </si>
  <si>
    <t>Gas Booster AG-303 (5585423-5)</t>
  </si>
  <si>
    <t>EMR-354</t>
  </si>
  <si>
    <t>Pressure bleeding back thru check valve.</t>
  </si>
  <si>
    <t>4/18/2018: Troubleshooting by JS Systems determined root cause is a defective circuit board in the ENMETmonitoring unit. JS Systems to return on 4/26 to replace the circuit board._x000D_
_x000D_
6/1/18: Board replaced. EMR closed.</t>
  </si>
  <si>
    <t>4/13/18: Contact JS Systems (vendor) to come out for troubleshooting and calibration._x000D_
4/18/18: Defective O2 sensor. JS Systems scheduled to return on 4/26 to replace the O2 sensor._x000D_
6/1/18: Sensor replaced.</t>
  </si>
  <si>
    <t>EMR-355</t>
  </si>
  <si>
    <t xml:space="preserve">LN2 line leaking. The LN2 line installed over cell 4 is leaking liquid._x000D_
Unsure if source of leak is valve or fitting. Leak is encased in ice._x000D_
 </t>
  </si>
  <si>
    <t>Annunciator</t>
  </si>
  <si>
    <t>EMR-356</t>
  </si>
  <si>
    <t xml:space="preserve">Bulb has blown out. </t>
  </si>
  <si>
    <t xml:space="preserve">6/7/18: Console PC has been replaced and cell 18 has been returned to service. Problem was defective motherboard per manufacturer._x000D_
_x000D_
_x000D_
_x000D_
_x000D_
_x000D_
</t>
  </si>
  <si>
    <t xml:space="preserve"> Chris and Bob to develop a test bench to test adjusting the PPCs internal transducer scaling._x000D_
6/7/18: Issue concluded when last update to software was deployed. Issue moot. Discussed with Chris and Bench tests were deemed unnecessary._x000D_
</t>
  </si>
  <si>
    <t>EMR-357</t>
  </si>
  <si>
    <t xml:space="preserve">Unit very slow to heat up and offset of 100°F  to reach desired box temp.  Believe heating elements are out.  Stayed running at 100% duty cycle during use at heat up._x000D_
_x000D_
Replaced with a different bemco and seen immediate improvements. _x000D_
As of the date of this EMR, Bemco Unit-3 is located at B16 (outside of CELL16 manifold room)_x000D_
</t>
  </si>
  <si>
    <t>EMR-358</t>
  </si>
  <si>
    <t>Replaced control transducers on cell 19 and now unable to zero them.  The password will not work.  I have tired re-booting system and still not working.</t>
  </si>
  <si>
    <t>6/8/18 (Frenzel): Password reset successful.</t>
  </si>
  <si>
    <t>EMR ID</t>
  </si>
  <si>
    <t>REPORTED_BY</t>
  </si>
  <si>
    <t>DESCRIPTION_OF_PROBLEM</t>
  </si>
  <si>
    <t>ENTERED_BY</t>
  </si>
  <si>
    <t>DATE_REPORTED</t>
  </si>
  <si>
    <t>DATE_CLOSED</t>
  </si>
  <si>
    <t>EMR_DURATION</t>
  </si>
  <si>
    <t>HCTC_BAY</t>
  </si>
  <si>
    <t>EQUIPMENT_ID</t>
  </si>
  <si>
    <t>EQUIPMENT_CLASSIFICATION</t>
  </si>
  <si>
    <t>HOUR_METER</t>
  </si>
  <si>
    <t>COUNTER</t>
  </si>
  <si>
    <t>CORRECTIVE_ACTION</t>
  </si>
  <si>
    <t>FAILURE_MODE</t>
  </si>
  <si>
    <t>PRIMARY_ CAUSE</t>
  </si>
  <si>
    <t>ACTION_TAKEN</t>
  </si>
  <si>
    <t>TEST_IMPACT</t>
  </si>
  <si>
    <t>TEST_PLAN</t>
  </si>
  <si>
    <t>MAKE</t>
  </si>
  <si>
    <t>MODEL_NUMBER</t>
  </si>
  <si>
    <t>SERIAL_NUMBER</t>
  </si>
  <si>
    <t xml:space="preserve">Closed LN2 ISO valve for CELL4 and CELL6. Tonatco Cryrogenic Services has been notified._x000D_
6/13/18: Contractor indicated that this could happen occassionally due to thermal cycling._x000D_
</t>
  </si>
  <si>
    <t>EMR-359</t>
  </si>
  <si>
    <t>EMR-360</t>
  </si>
  <si>
    <t>EMR-361</t>
  </si>
  <si>
    <t>Sump pump has stopped pumping. Filter is clean. Likely needs rebuild.</t>
  </si>
  <si>
    <t xml:space="preserve">Fine tune Tescom Regulator leaking internally. </t>
  </si>
  <si>
    <t xml:space="preserve">(Haenel): O2 sensor losing power. Suggestion is to move sensor readout to control panel on all pits to eliminate vibration. I believe the shock of opening and closing entry door to the pit is damaging the internal circuits. </t>
  </si>
  <si>
    <t>Use Portable O2 sensors while working in the Test Pits.</t>
  </si>
  <si>
    <t>Pull test machine. Designed by Cameron in the 1980s.</t>
  </si>
  <si>
    <t>Accumulators-(Blue Bottles)</t>
  </si>
  <si>
    <t>Pressure Switch</t>
  </si>
  <si>
    <t>Check Valve (CKO4400)</t>
  </si>
  <si>
    <t>Check Valve (High Pressure)</t>
  </si>
  <si>
    <t>Parker Autoclave Engineers</t>
  </si>
  <si>
    <t>CKO4400</t>
  </si>
  <si>
    <t>CKO9900</t>
  </si>
  <si>
    <t>High Pressure Manifold Assembly</t>
  </si>
  <si>
    <t>Haskel</t>
  </si>
  <si>
    <t>5585423-5</t>
  </si>
  <si>
    <t>Ball Valve</t>
  </si>
  <si>
    <t>Hyperbaric Chamber</t>
  </si>
  <si>
    <t>Safety Interlock</t>
  </si>
  <si>
    <t>O2 Sensor (Test Pit-4)</t>
  </si>
  <si>
    <t>Oxygen Alarm (Audible)</t>
  </si>
  <si>
    <t>Oxygen Alarm (Beacon)</t>
  </si>
  <si>
    <t>Tripp Lite</t>
  </si>
  <si>
    <t>SU1500RTXL2UA</t>
  </si>
  <si>
    <t>Watlow F4 Controller</t>
  </si>
  <si>
    <t>Watlow</t>
  </si>
  <si>
    <t>F4SH-KKA6-01RG</t>
  </si>
  <si>
    <t>HCTC ID</t>
  </si>
  <si>
    <t>TECHNOLOGY</t>
  </si>
  <si>
    <t>MODEL NUMBER</t>
  </si>
  <si>
    <t>SERIAL NUMBER</t>
  </si>
  <si>
    <t>DESCRIPTION</t>
  </si>
  <si>
    <t>MAC</t>
  </si>
  <si>
    <t>Rigoberto Villarruel</t>
  </si>
  <si>
    <t>120 VAC Access</t>
  </si>
  <si>
    <t>480 VAC Access</t>
  </si>
  <si>
    <t>Air Compressor</t>
  </si>
  <si>
    <t>Bunker Door Controls</t>
  </si>
  <si>
    <t>Displacement Sensor</t>
  </si>
  <si>
    <t>Enclosure</t>
  </si>
  <si>
    <t>Portable Manifold</t>
  </si>
  <si>
    <t>Temperature Sensor</t>
  </si>
  <si>
    <t>Test Bunker</t>
  </si>
  <si>
    <t>Torque Tool</t>
  </si>
  <si>
    <t>Tubing Machine</t>
  </si>
  <si>
    <t>Water Filtration</t>
  </si>
  <si>
    <t>Water Reclaimation</t>
  </si>
  <si>
    <t>N/A-Not Applicable</t>
  </si>
  <si>
    <t>N/A-No Failure</t>
  </si>
  <si>
    <t>Who entered_updated EMR</t>
  </si>
  <si>
    <t>EMR-362</t>
  </si>
  <si>
    <t>Asco</t>
  </si>
  <si>
    <t>Cryogenic valve</t>
  </si>
  <si>
    <t>11111-111</t>
  </si>
  <si>
    <t>Cryogenic valves</t>
  </si>
  <si>
    <t>DATE_UPDATED</t>
  </si>
  <si>
    <t>UPDATED_BY</t>
  </si>
  <si>
    <t>Use the data file to coordinate the start and end of holds. Until this issue is resolved, do not rely on screen shots for witness data.</t>
  </si>
  <si>
    <t>4.5 MM PTM</t>
  </si>
  <si>
    <t>OneSubsea</t>
  </si>
  <si>
    <t>599515-37-85-02</t>
  </si>
  <si>
    <t>Z3 to Z2 Gas</t>
  </si>
  <si>
    <t>10KSI 4.5 Million lbf pull test machine. Designed at OneSubsea in 2016. Reference  design file DF-003987-01.</t>
  </si>
  <si>
    <t>Bemco Inc.</t>
  </si>
  <si>
    <t>-100 F to 1000 F temperature control unit with up 1500 CFM flow rate. Nitrogen Gas.</t>
  </si>
  <si>
    <t>PTS-100/1000F-1500LN</t>
  </si>
  <si>
    <t>Cryrogenic Solenoid Valve</t>
  </si>
  <si>
    <t xml:space="preserve">Valcor Engineering Corporation
</t>
  </si>
  <si>
    <t>SV97C88HC3B</t>
  </si>
  <si>
    <t xml:space="preserve">Solenoid Valve (cryogenic) -NC- 1/4"NPT
</t>
  </si>
  <si>
    <t xml:space="preserve">Watlow F4 temperature controller
</t>
  </si>
  <si>
    <t>Z3 to Z1 Liquid</t>
  </si>
  <si>
    <t>Cryrogenic Solenoid Valve (Asco))</t>
  </si>
  <si>
    <t>ASCO Valves</t>
  </si>
  <si>
    <t>8262H232LT</t>
  </si>
  <si>
    <t>Cryrogenic Solenoid Valve (Valcor)</t>
  </si>
  <si>
    <t>Screen shot timestamp does not match the data file time stamp. Discrepancy of up to 4 minutes observed.</t>
  </si>
  <si>
    <t>Andrew Ondrejcak</t>
  </si>
  <si>
    <t>EMR-363</t>
  </si>
  <si>
    <t>EMR-364</t>
  </si>
  <si>
    <t>5/18/18 (Dowd): Erdosmiller has taken the DAQ enclosure back to their facility for rewiring. ECD: 5/23/18._x000D_
June,2018: Enclosure rewired and returned to the HCTC. It has been mounted at DC-5 and system I/O checks were successfully completed.</t>
  </si>
  <si>
    <t>Replace bulb. Order spares for CSP inventory._x000D_
June,2018: Spares received. Bulb replaced.</t>
  </si>
  <si>
    <t>Remote Cameras for High/Low Bays _x000D_
The camera system is not recording consistently. Some days it does not record at all, some days it records for only 2 hours, some days it will record on &amp; off during the day. It was not recording during initial FAT for Brookshire so we have no visual for them. See Kitty for further description if needed. We will need this working correctly in the future during shear tests</t>
  </si>
  <si>
    <t>Kitty Harvey</t>
  </si>
  <si>
    <t>Cannibalized</t>
  </si>
  <si>
    <t>Component Defect</t>
  </si>
  <si>
    <t>Component Wear &amp; Tear</t>
  </si>
  <si>
    <t>Contractor Error</t>
  </si>
  <si>
    <t>Installation Error</t>
  </si>
  <si>
    <t>Modification Or Upgrade</t>
  </si>
  <si>
    <t>Operating Beyond Design Limits</t>
  </si>
  <si>
    <t>Operator Error</t>
  </si>
  <si>
    <t>Other</t>
  </si>
  <si>
    <t>Power Loss</t>
  </si>
  <si>
    <t>Preventive Maintenance</t>
  </si>
  <si>
    <t>Unknown</t>
  </si>
  <si>
    <t>Erdosmiller</t>
  </si>
  <si>
    <t>Beam F09</t>
  </si>
  <si>
    <t>Beam F10</t>
  </si>
  <si>
    <t>Impacted Device Under Test</t>
  </si>
  <si>
    <t>Test Equipment Damage</t>
  </si>
  <si>
    <t>Computer Anomaly</t>
  </si>
  <si>
    <t>Electrical (Controls)</t>
  </si>
  <si>
    <t>Electrical (Heaters)</t>
  </si>
  <si>
    <t>Electrical (Power)</t>
  </si>
  <si>
    <t>Electronic Components</t>
  </si>
  <si>
    <t>Failed Sensor</t>
  </si>
  <si>
    <t>Hydraulic (Leaks, Valves, Seals, Etc.)</t>
  </si>
  <si>
    <t>Mechanical</t>
  </si>
  <si>
    <t>Physical Damage</t>
  </si>
  <si>
    <t>Pneumatic (Leaks, Valves, Seals, Etc.)</t>
  </si>
  <si>
    <t>Software Anomaly</t>
  </si>
  <si>
    <t>Hardware Upgrade Required</t>
  </si>
  <si>
    <t>Mitigation Training Recommended</t>
  </si>
  <si>
    <t>Not Serviceable-Replace</t>
  </si>
  <si>
    <t>Physical Mitigation</t>
  </si>
  <si>
    <t>Serviceable – Repair (Contractor)</t>
  </si>
  <si>
    <t>Serviceable – Repair (In-House)</t>
  </si>
  <si>
    <t>REPORTED BY</t>
  </si>
  <si>
    <t>DATE REPORTED</t>
  </si>
  <si>
    <t>EMR DURATION</t>
  </si>
  <si>
    <t>EQUIPMENT ID</t>
  </si>
  <si>
    <t>EMR-365</t>
  </si>
  <si>
    <t>No signal from data transducers.</t>
  </si>
  <si>
    <t>056-18</t>
  </si>
  <si>
    <t>Beam B16</t>
  </si>
  <si>
    <t>All system pressures are dumped (valves in de-energized state) when the Manifold Door Safety Interlock is removed. This should not happen if the manifold room pressures are bled off. To enter the manifold room without bleed of all pressures, the override key must remain installed. _x000D_
This was first observed in September, 2017 but was inadvertenly overlooked in the early stages of the EMR system.</t>
  </si>
  <si>
    <t>There was a relay fix to this problem implemented back in March with the help of CAE and John from Erdosmiller. It was tested in CELL8. Additional relays have been purchased and are ready to be installed at the remaining test cells. The relays are in CSP inventory. The system-component name for this EMR has been changed to Manifold Door Safety Interlock.</t>
  </si>
  <si>
    <t>DATE UPDATED</t>
  </si>
  <si>
    <t>TIME OF DAY</t>
  </si>
  <si>
    <t>ENTERED BY</t>
  </si>
  <si>
    <t>EMR_ID</t>
  </si>
  <si>
    <t>Major Repair Kit for the KR-140 X76H-3 Regulator arrived 7/6/2018.</t>
  </si>
  <si>
    <t>Check on software package from CSZ for purchase.</t>
  </si>
  <si>
    <t xml:space="preserve">Upgrade request.  Engineering is requesting the valve cycle program be modified/added feature that will allow short cycling of the valve.  This is to speed up time to complete testing.  We believe our best solution at this time using spring/failed closed program, trigger actuator to go back closed using pressure indication from the downstream transducer.  _x000D_
Changes are requested ASAP and awaiting a quote._x000D_
</t>
  </si>
  <si>
    <t xml:space="preserve">As a follow up to this EMR, HCTC Systems needs to obtain all documentation and contact information related to the HCTC camera systems. </t>
  </si>
  <si>
    <t>Check with Chris and Anthony on this issue.</t>
  </si>
  <si>
    <t>Steps to repair:_x000D_
1.	Run the software and ensure connection to the main cRIO Chassis._x000D_
2.	On the manifold UI, click the Cameron logo._x000D_
3.	A password dialog appears. Enter the admin password._x000D_
4.	An admin utilities window will appear after a correct password is used._x000D_
a.	Click the “Reset Scan Engine” button._x000D_
5.	Exit the software._x000D_
6.	Power cycle the cRIO and the expansion chassis._x000D_
7.	Relaunch the software and load the test configuration file._x000D_
8.	Issue is (should) now be resolved.</t>
  </si>
  <si>
    <t>EMR-366</t>
  </si>
  <si>
    <t xml:space="preserve">20k filter extruded o-ring on filter indicator spraying fluid out of pump.  It’s unknown if we are looking at an o-ring falure or plugged filter and relief falure that caused issue.  Relief is set at 16,500psi so it should have relieved pressure prior to o-ring falure if filter is rated to 20k.  Pump was operating at 5000psi regulated down stream of filter.  No observations made of diminished flow rates from pump prior to falure. </t>
  </si>
  <si>
    <t>Unit repaired. Test in CELL22 up to 20 KSI.</t>
  </si>
  <si>
    <t>Ordered a Dayton pump. EDD: TBD</t>
  </si>
  <si>
    <t>EMR-367</t>
  </si>
  <si>
    <t>When paid updates to the valve cycle program were implemented we lost some of the old features that were never intended on loosing.  During valve cycling engineering wanted to have ability to bleed pressure off the downstream in a controlled manner for higher pressure valves(20k+). The remainder of testing will use our older type of testing where downstream pressure is dumped immediately.  Also implemented was the ability to control a different pump and regulator setpoint after crack open occurs.  This feature will remain as is which is what we want.  The valve cycle program needs to have the ability for users to choose how the downstream pressure is handled (bleed or dump) as originally intended when program changes were purchased.</t>
  </si>
  <si>
    <t>Erdosmiller notified.</t>
  </si>
  <si>
    <t>Row Labels</t>
  </si>
  <si>
    <t>Grand Total</t>
  </si>
  <si>
    <t>Column Labels</t>
  </si>
  <si>
    <t>Count of STATUS</t>
  </si>
  <si>
    <t>EMR-368</t>
  </si>
  <si>
    <t>Inconsistencies with the 100 hz sampling mode.</t>
  </si>
  <si>
    <t>EMR-369</t>
  </si>
  <si>
    <t xml:space="preserve">REPAIR KIT FOR TESCOM MODEL 50-2062D24A250._x000D_
Bypassing fluid unable to maintain pressure while testing, needs rebuild if kits available._x000D_
Swapped new regulator from other test cell(22) in place to continue testing._x000D_
_x000D_
</t>
  </si>
  <si>
    <t>Pit 5 HPU</t>
  </si>
  <si>
    <t>HPU system for Pit 5. Assembled by C-Automation.</t>
  </si>
  <si>
    <t>EMR-370</t>
  </si>
  <si>
    <t>Belt squealing during operation.</t>
  </si>
  <si>
    <t>Pat and Rigo tightened belts and fixed issue.</t>
  </si>
  <si>
    <t xml:space="preserve">HCTC Maintenance: The window has now been installed. Pat/Rigo completed the job on 7/16/2018._x000D_
</t>
  </si>
  <si>
    <t>EMR-371</t>
  </si>
  <si>
    <t xml:space="preserve">(Harvey):  This is a repeat problem. The cameras will not playback recordings. Please fix. </t>
  </si>
  <si>
    <t xml:space="preserve">7-23-2018 (Hogan): The issue has been resolved for now. The drive has been cleared of junk files and the automatic windows update setting has been turned off. An IT ticket has been submitted to determine if it is possible to upgrade the servers cdrive with a larger unit (current is 55GB), which would eliminate the problem. Reference INC000020776680._x000D_
</t>
  </si>
  <si>
    <t>Camera Servers (High Bay Control Room)</t>
  </si>
  <si>
    <t>Camera servers located in the high bay control room.</t>
  </si>
  <si>
    <t>EMR-372</t>
  </si>
  <si>
    <t>The air conditioner is not working in the computer room with the camera servers. It is not cooling. Camera servers could be impacted with insufficient cooling.</t>
  </si>
  <si>
    <t>EMR-373</t>
  </si>
  <si>
    <t>Unit stopped cooling could be defective solenoid.</t>
  </si>
  <si>
    <t>051-18</t>
  </si>
  <si>
    <t>EMR-374</t>
  </si>
  <si>
    <t>Wellbore camera is nor working (pan/tilt).</t>
  </si>
  <si>
    <t>019-18</t>
  </si>
  <si>
    <t>Loss of wellbore visibility during test.</t>
  </si>
  <si>
    <t>EMR-375</t>
  </si>
  <si>
    <t xml:space="preserve">(Haenel): Tescom on fine tune circuit leaking internally needs to be rebuilt. Pits 2,3,&amp; 4 have similar issue._x000D_
Suggestion is that all Tescoms in pits 1-5 be rebuilt and a PM be generated in the future._x000D_
_x000D_
Note: This regulator interfaces with the ER5000 electropneumatic controller. _x000D_
</t>
  </si>
  <si>
    <t>TCU (Russells Units)</t>
  </si>
  <si>
    <t>Russells Technical Products</t>
  </si>
  <si>
    <t>EMR-376</t>
  </si>
  <si>
    <t xml:space="preserve">Install hour meters on Russells Units 4 through 9. Hour meters are required for maintenance tracking and preventive maintenance (PM) scheduling._x000D_
</t>
  </si>
  <si>
    <t xml:space="preserve">Hours meters received on 7-27-2018. Install as russells units become available. </t>
  </si>
  <si>
    <t>EMR-377</t>
  </si>
  <si>
    <t>Rotation beacon lamp is Bulb is blown out. The beacon is rotation while bunker is under pressure so it does not appear to be a power issue.</t>
  </si>
  <si>
    <t>029-18</t>
  </si>
  <si>
    <t>EMR-378</t>
  </si>
  <si>
    <t xml:space="preserve"> Noticed reduced output and pressure pulsing from output line along with pulsating noises.</t>
  </si>
  <si>
    <t>Test stoppage. Check for an available equivalent pump to resume testing.</t>
  </si>
  <si>
    <t xml:space="preserve">HCTC Maintenance removed and replaced the Dynex pump head with a spare pump head (purchased at TDC several years ago). Unit test was ok and it it operational. The root cause will be updated following disassembly and maintenance of the defective pump head. _x000D_
Also, rebuild kits for the 20KSI relief valve and spare hydraulic filters have been requisitioned. The relief valve will be rebuilt and the filters changed out at the completion of TP056-18.  _x000D_
EMR-378 is Closed._x000D_
</t>
  </si>
  <si>
    <t>225B-521JC</t>
  </si>
  <si>
    <t>Solenoid valve used to provide air to the pneumatic valve assemblies on the medium bay manifolds.</t>
  </si>
  <si>
    <t>Solenoid Valve (225B-521JC)</t>
  </si>
  <si>
    <t>EMR-379</t>
  </si>
  <si>
    <t>Solenoid does not cycle.</t>
  </si>
  <si>
    <t>Solenoid removed and replaced (R&amp;R) with new solenoid from CSP inventory. Defective unit set aside for future bench test and diagnostics. At that time, it will be determined if discard or repair. Root cause to be updated following diagnostics.</t>
  </si>
  <si>
    <t xml:space="preserve">(HCTC Maintenance): EMR-has been completed. Bulb replaced. </t>
  </si>
  <si>
    <t>Room A/C was serviced the week of July 24. EMR is Closed.</t>
  </si>
  <si>
    <t>EMR-380</t>
  </si>
  <si>
    <t>197-17</t>
  </si>
  <si>
    <t>DISREGARD THIS EMR. EMR Entered in Error.</t>
  </si>
  <si>
    <t xml:space="preserve">Gas Booster AG-303 </t>
  </si>
  <si>
    <t>Min. Inlet: 0.5ksi  Max Outlet: 39ksi</t>
  </si>
  <si>
    <t>EMR-381</t>
  </si>
  <si>
    <t>The AG-303 in cell 1 will not develop more than 10ksi due to a leaking rod seal. Needs rebuild. Recently placed back into service after 2 years.</t>
  </si>
  <si>
    <t>EMR-382</t>
  </si>
  <si>
    <t>Lost com with TCU on cells with software 3.1 and above. RS 485 TCU serial com not functioning on cells with rev 3.1 software.</t>
  </si>
  <si>
    <t>EMR-383</t>
  </si>
  <si>
    <t xml:space="preserve"> Valve cycle test pause function does not resume. Software restart required.</t>
  </si>
  <si>
    <t xml:space="preserve">(Frenzel): Restarted the TCU, manifold software and cRIO. No com. Resistor is in place. Polarity of connections double checked._x000D_
</t>
  </si>
  <si>
    <t>EMR-384</t>
  </si>
  <si>
    <t xml:space="preserve">Camera power was not in CAE scope for Waller bunkers because IP camera systems were to be provided by another vendor.  Rather than have separate 24VDC camera power supplies, test cell 24V power can be used._x000D_
Power cables are run in all but 5 &amp; 6 but not connected. Installation of cables will be required in cells 5 &amp; 6._x000D_
</t>
  </si>
  <si>
    <t>Sump Pump (medium bay bunkers)</t>
  </si>
  <si>
    <t>Sump Pump</t>
  </si>
  <si>
    <t>Sandpiper</t>
  </si>
  <si>
    <t>S0781P2PPNS000</t>
  </si>
  <si>
    <t xml:space="preserve">Standard duty ball valve pump. Sump pump used in CELLS (7-8)_(15-22). </t>
  </si>
  <si>
    <t>Z3-SV-P4</t>
  </si>
  <si>
    <t>EMR-385</t>
  </si>
  <si>
    <t>Pump stopped working, cannot pump from pit to evans unit.</t>
  </si>
  <si>
    <t>Pump failure could result delayed test or test stoppage. A tote maybe required to resume testing.</t>
  </si>
  <si>
    <t>EMR-386</t>
  </si>
  <si>
    <t>Operator key is missing. CELL1 is non operational without the key installed.</t>
  </si>
  <si>
    <t>(Patrick Hooten): The pump is working fine. The unit is full and needs to be pumped out. The float switch is stopping the pump from running. Complete.</t>
  </si>
  <si>
    <t xml:space="preserve">Closed. Awaiting root cause description from Erdosmiller. </t>
  </si>
  <si>
    <t>Replaced with spare pneumatic valve assembly. The defective valve to be disassembled and repaired as needed,</t>
  </si>
  <si>
    <t>Dynex pump has been replaced with spare. The defective Dynex pump to be disassembled and refurbished either inhouse or via contractor. Relief valve rebuild kit and oil filters ordered and to be replaced. Future action to set-up a PM plan for these pump carts.</t>
  </si>
  <si>
    <t>EMR-387</t>
  </si>
  <si>
    <t xml:space="preserve"> Pump will not produce more than 4500 psi </t>
  </si>
  <si>
    <t>Kyle Box</t>
  </si>
  <si>
    <t>147-17</t>
  </si>
  <si>
    <t>EMR-388</t>
  </si>
  <si>
    <t xml:space="preserve">Test fluid in cRIO electrical enclosure. Electrical system exposed to test fluid._x000D_
Test cell shut down until electrical system can be dried out._x000D_
</t>
  </si>
  <si>
    <t xml:space="preserve">Erdosmiller notified.  Investigate recent software changes at rev 3.1._x000D_
14Aug18; Programming error corrected. </t>
  </si>
  <si>
    <t>EMR-389</t>
  </si>
  <si>
    <t>Gas booster in cell 15 would not operate.  After investigation it was narrowed down to the regulator.  We pulled the regulator from cell 17 to swap out and this fixed the issue in cell 15.  Cell 17 is tagged out now and the broken regulator is located on the computer console.</t>
  </si>
  <si>
    <t>EMR-390</t>
  </si>
  <si>
    <t>cRIO goes into safe mode and will not respond.</t>
  </si>
  <si>
    <t>176-17</t>
  </si>
  <si>
    <t>DAQ Hardware Anomaly</t>
  </si>
  <si>
    <t>DAQ-CTRL System (cRIO)</t>
  </si>
  <si>
    <t>National Instruments</t>
  </si>
  <si>
    <t xml:space="preserve">NI CompactRIO </t>
  </si>
  <si>
    <t>a controller with a processor and user-programmable FPGA</t>
  </si>
  <si>
    <t>Z3-SV-P3</t>
  </si>
  <si>
    <t>O2 sensor monitoring stations have been relocated.</t>
  </si>
  <si>
    <t>Software Update</t>
  </si>
  <si>
    <t>EMR-391</t>
  </si>
  <si>
    <t xml:space="preserve"> Oxygen sensor alarming display says low voltage.  Loud ringing sound and flashing blue light.</t>
  </si>
  <si>
    <t>EMR-392</t>
  </si>
  <si>
    <t>Regulator not holding proper setting. This is the 30k regulator located on manifold as an add on item.  It was no longer able to reach his test pressure of 20kpsi.  Item was swapped out with a unit from another manifold room to continue testing and the bad unit is located at cell 22 ready for maintenance to pick up to look into a rebuild.</t>
  </si>
  <si>
    <t>Regulator to be rebuilt. Repair kits to be ordered.</t>
  </si>
  <si>
    <t xml:space="preserve">HCTC Maintenance notified. _x000D_
23aug; Wiring of Waller bunker cameras completed </t>
  </si>
  <si>
    <t>Directional Control Valve</t>
  </si>
  <si>
    <t>Cameron</t>
  </si>
  <si>
    <t>SK-200660-01</t>
  </si>
  <si>
    <t>Z3-SV-P2</t>
  </si>
  <si>
    <t xml:space="preserve"> Vacuum fluid from electrical enclosure and dry out._x000D_
Enclosures left open to dry._x000D_
23Aug; Bunker/test continued to operate despite recommendation to wait until system can be dried out and enclosure doors closed._x000D_
Closing EMR</t>
  </si>
  <si>
    <t>Control Valve (SK-200660-01)</t>
  </si>
  <si>
    <t>Cameron Designed Valve. 1/4" 5KSI WP, 3KSI PILOT, 2.5KSI VENT, 4WAY 3POS, SUBPLATE MOUNTED</t>
  </si>
  <si>
    <t>EMR-393</t>
  </si>
  <si>
    <t xml:space="preserve"> ¼” pod valve leaked </t>
  </si>
  <si>
    <t>Operator key switch bypassed to allow SIT tests. No risk to equipment.</t>
  </si>
  <si>
    <t>Troubleshooting In-Progress._x000D_
23Aug; 24VDC power supply producing less than 24vdc (approx 23.8vdc) Power supply adjusted to produce 24.1vdc. Alarm stopped and reset. _x000D_
O2 alarm now functioning normally. O2 sensors notoriously sensitive to supply voltage variations.</t>
  </si>
  <si>
    <t>Yun Li</t>
  </si>
  <si>
    <t>167-18</t>
  </si>
  <si>
    <t>Seal repair kit install needed._x000D_
13 Aug; Repair complete and booster replaced into panel._x000D_
Cell 1 ready for SIT. Closed</t>
  </si>
  <si>
    <t>Tescom Regulator (54-2000 Series)</t>
  </si>
  <si>
    <t>54-2061T24</t>
  </si>
  <si>
    <t>Tescom 54-2000 Series pressure redusing regulator. 10KSI, Viton-A O-RING, 1/4" NPT.</t>
  </si>
  <si>
    <t>EMR-394</t>
  </si>
  <si>
    <t>Tescom pressure regulator (model 54-2061T24) is leaking.</t>
  </si>
  <si>
    <t>156-18</t>
  </si>
  <si>
    <t>(Yun Li): After group discussion this morning, we found there was a circuit issue, not 1/4" Pod valve. We have supply lines to feed 1/4" valve. We needed to isolate one supply line from circuit. Now we solved the issue. Please close this EMR.</t>
  </si>
  <si>
    <t>(Yun Li): We used the high pressure range Tescom regulator in the low pressure circuit, after changed to low pressure  arrange Tescom, it works properly. No need to repair the Tescom regulator. Close EMR.</t>
  </si>
  <si>
    <t>Evans Unit (A24-23.25)</t>
  </si>
  <si>
    <t>Gulf-Tex Automation</t>
  </si>
  <si>
    <t>Ozonator 1000</t>
  </si>
  <si>
    <t>Water recirculation unit.</t>
  </si>
  <si>
    <t>Z3-SV-GB</t>
  </si>
  <si>
    <t>EMR-395</t>
  </si>
  <si>
    <t xml:space="preserve">(Miller): The Evan’s unit circulation pump is not working on the firetest stand coolant loop.  This caused the test reservoir barrel to get very hot and approach the temperature rating of the Cat pressure pump. The pump is getting power on it but it is not cycling on.  _x000D_
</t>
  </si>
  <si>
    <t>EMR-396</t>
  </si>
  <si>
    <t>C-RIO is not responding to the computers (i.e doesn’t record data, doesn’t responds to the commands and lost the named tag)</t>
  </si>
  <si>
    <t>There is an issue with the Actor/Framework configuration associated with the cRIO system that results in this anomaly occuring periodically. This is also an issue observed on the Medium Bay systems and is expected to happen on the Drilling Pit cRIOs as well. The fix for this problem at this time is to power cycle (on/off/on) the cRIOs. It is recommended that the Bay managers make this procedure part of the pre-test checklist or it can become a monthly preventive maintenance task for all cRIO locations.</t>
  </si>
  <si>
    <t xml:space="preserve">Watlow reconnects would allocate new memory to store profiles without deallocating previous memory. Modified software to re-use existing memory allocations._x000D_
</t>
  </si>
  <si>
    <t>John: Rotork is a separate branch of software and has not been fully merged into main software.</t>
  </si>
  <si>
    <t>EMR-397</t>
  </si>
  <si>
    <t>Erdosmiller notified. They identified a software issue as the root cause. Erdosmiller to correct the issue on Friday, July 13._x000D_
29Au18; No additional feedback. Assume problem was corrected on the 13th of July.</t>
  </si>
  <si>
    <t xml:space="preserve">(CAE-Andrew Barbour): I never saw the key both times I was there. This last trip I asked Bob about the key and he seemed to think that the technicians had it stored somewhere._x000D_
_x000D_
(Dowd): CAE does not have the operator key for CELL1.  Keys will have to be made._x000D_
_x000D_
17Aug; Replacement switches w/keys ordered. Less expensive than making new key for old switch._x000D_
Switch bypassed so SIT can continue. Bypass results in no risk to personell or equipment._x000D_
</t>
  </si>
  <si>
    <t>(HCTC Maintenance-Rigo): Pat and I got the newer pump making steady pressure. We used a part from the old red pump to make it work and thoroughly cleaned the black pump internally. We only took too about 6000 psi. _x000D_
We are taking the pump back to the cell for a higher pressure test. Rigo._x000D_
24Aug18, RAF; Test at bunker partially successful. Pump was making odd noises and was rebuilt again._x000D_
Successful the second time. Pump in service.</t>
  </si>
  <si>
    <t>Robert Kercheval (IT) called Rohama Khadija (Erdosmiller). This is the second occurance of this anomaly in the past 3 days._x000D_
_x000D_
29 Aug, 10:30am;  cRIO failure caused by out of memory condition on the cRIO._x000D_
Out of memory condition caused by techs storing screen shots in cRIO memory instead of on the host computer hard drive._x000D_
cRIO only has a total of 3Gb of solid state memory about 1.5Gb of which is system and program files._x000D_
Stored data and screen shots was over 1 Gb._x000D_
cRIO memory was down to less than 250 Mb._x000D_
Erdos Miller to modify program to purge data files when memory limits are approached. _x000D_
Files will not be purged unless confirmed they are also on the host computer._x000D_
Recommend test engineers get their data from the host computer as quickly as possible after a test.</t>
  </si>
  <si>
    <t>Do Not store test data on the cRIO. File mirroring to host computer provided.</t>
  </si>
  <si>
    <t>O2 Sensor (Drilling Pits)</t>
  </si>
  <si>
    <t>ENMET</t>
  </si>
  <si>
    <t>O2 Sensor</t>
  </si>
  <si>
    <t>Z3-LQD-PT2</t>
  </si>
  <si>
    <t>EMR-398</t>
  </si>
  <si>
    <t>O2 sensor for inside thermal chamber seems to be malfunctioning and alarming. Other 2 sensors in pit 5 are reading fine in same area.</t>
  </si>
  <si>
    <t>187-17</t>
  </si>
  <si>
    <t>EMR-399</t>
  </si>
  <si>
    <t>Tescom regulator stopped regulating pilot pressure</t>
  </si>
  <si>
    <t>(Haenel): I have disassembled and repaired reusing seals. Another broken pin. Pic is attached of broken pin.</t>
  </si>
  <si>
    <t>169-18</t>
  </si>
  <si>
    <t>EMR-400</t>
  </si>
  <si>
    <t>Will not produce pressure.  Regulator was set at 6200psi working fine then gradually settled down to around 5000psi and will not increase with regulator adjustment.  There are no odd noises coming from pump.</t>
  </si>
  <si>
    <t>Single Acting Single Stage AG boosters are the smallest and lightest with pressure capabilities up to 39,000 psi.</t>
  </si>
  <si>
    <t>None</t>
  </si>
  <si>
    <t>HCTC Maintenance replaced defective filter o-ring._x000D_
30Aug, RAF- Pump now producing pressure. EMR closed</t>
  </si>
  <si>
    <t>EMR-401</t>
  </si>
  <si>
    <t>Pump will not produce over 5k.</t>
  </si>
  <si>
    <t>EMR-402</t>
  </si>
  <si>
    <t xml:space="preserve"> The PVC fittings on top of the pump are spraying water.  It might be loose or broken.</t>
  </si>
  <si>
    <t xml:space="preserve">HCTC Maintenance tighten the fittings. Leak stopped. </t>
  </si>
  <si>
    <t>172-18</t>
  </si>
  <si>
    <t>EMR-403</t>
  </si>
  <si>
    <t>The control software doesn’t work properly for DC1 and DC2. C-RIO is not responding to the computers (i.e doesn’t record data, doesn’t responds to the commands and lost the named tag)</t>
  </si>
  <si>
    <t>Received quote from vendor on repair kits. Order placed as of 9/5/18. There is a 6-8 week lead time.</t>
  </si>
  <si>
    <t xml:space="preserve">Ben Hogan: The camera has been repaired. The unit was exposed to heat greater than what it is rated for. This resulted in some of the internal components melting and fusing together. That ultimately disabled the pan and tilt functions. 
</t>
  </si>
  <si>
    <t>EMR-404</t>
  </si>
  <si>
    <t>Pump and dump program cycle counter not allowing user to add to previous set of counts.  Program resets counter to zero after each launch of program.</t>
  </si>
  <si>
    <t xml:space="preserve">Erdosmiller determined that the cRIO was running out of memory due to an error logging script on the cRIO that was inadvertantly left running while troubleshooting the previous EMR. The error logger has been disabled and the memory cleared. </t>
  </si>
  <si>
    <t xml:space="preserve">HCTC Maintenance and the Evans contractor determined that the pump motor is defective. Contractor to check on warranty. Option at this time is to cannibalize a motor from an unused Evans unit (possibly one stationed at the Waller cells). Awaiting warranty status prior to taking this action._x000D_
_x000D_
8/31/18 Pat/Rigo Replaced bad pump with a new one. </t>
  </si>
  <si>
    <t>EMR-405</t>
  </si>
  <si>
    <t>Bridge A crane didn’t work properly. It couldn’t lift up or lower down the product when pushed the buttons.</t>
  </si>
  <si>
    <t xml:space="preserve">HCTC Maintenance has replacement parts on order. Check status._x000D_
This unit did not have many hours on it so we pulled the pneumatic  shuttle spool and cleaned it. This unit is back in service._x000D_
_x000D_
</t>
  </si>
  <si>
    <t>EMR-406</t>
  </si>
  <si>
    <t>BSSB10-3/4SD</t>
  </si>
  <si>
    <t>Water filter housings for the medium bay test cells</t>
  </si>
  <si>
    <t>PLC Software</t>
  </si>
  <si>
    <t>EMR-407</t>
  </si>
  <si>
    <t xml:space="preserve">While having graph running on auto scrole, the chart while randomly kick its self out to 2003yr pushing your current data way off the chart.  This hasn’t been a one time event.  </t>
  </si>
  <si>
    <t>Check Valves (manifold room)</t>
  </si>
  <si>
    <t>RCKO9900</t>
  </si>
  <si>
    <t>Repair kit for the CKO9900 check valve.</t>
  </si>
  <si>
    <t>Program for test cell / pit manifold DAQ and control.</t>
  </si>
  <si>
    <t>Proportional Pressure Controller (manifold room)</t>
  </si>
  <si>
    <t>PPC5C-ABB-MGAB-CAA-AE</t>
  </si>
  <si>
    <t>PPC, 0-150 PSI, 4-20mA</t>
  </si>
  <si>
    <t>Solenoid Valve (manifold room)</t>
  </si>
  <si>
    <t>Solenoid Valve</t>
  </si>
  <si>
    <t>TCU Ramping Controller</t>
  </si>
  <si>
    <t>Watlow F4 temperature controller</t>
  </si>
  <si>
    <t xml:space="preserve">Trying to use dual acting actuator valve program, each launch the program loads a spring fail close program and erases previous entry’s on dual acting program.  We’ve shut down and reset the computers and battery backup without any change in behavior._x000D_
_x000D_
Also when you open the setting menu for programs it has valve and pump/dump programs overlaying each other until you change entry._x000D_
</t>
  </si>
  <si>
    <t>Erdosmiller notified. John Amstadt to work on this issue on Wednesday, September 12th._x000D_
13sept: RAF: EMR closed. Problem with UI. Proagram was working but didn,t update the UI correctly.</t>
  </si>
  <si>
    <t>Air Supply Ball Valve (manifold room)</t>
  </si>
  <si>
    <t>Wilkerson</t>
  </si>
  <si>
    <t xml:space="preserve">V73-06-B000B </t>
  </si>
  <si>
    <t>Modular Ball Valve</t>
  </si>
  <si>
    <t>Air Supply Dump Valve (manifold room)</t>
  </si>
  <si>
    <t>Quick Dump Valve</t>
  </si>
  <si>
    <t>E28-06-Ec00</t>
  </si>
  <si>
    <t xml:space="preserve">E28 Slow-Start / Quick Dump Valves </t>
  </si>
  <si>
    <t>Air Supply Filter (manifold room)</t>
  </si>
  <si>
    <t>B28-06-FGG0</t>
  </si>
  <si>
    <t>Filter | Regulator with 5 Micron Filtration | 3/4" NPT</t>
  </si>
  <si>
    <t>Air Supply Filter Element (manifold room)</t>
  </si>
  <si>
    <t>Air Filter</t>
  </si>
  <si>
    <t xml:space="preserve">FRP-96-653  </t>
  </si>
  <si>
    <t>Filter Element 5 Micron</t>
  </si>
  <si>
    <t>Air Supply Filter Retainer (manifold room)</t>
  </si>
  <si>
    <t>FRP-96-283</t>
  </si>
  <si>
    <t>Filter Retainer Element Baffle</t>
  </si>
  <si>
    <t>Air Supply Pressure Switch (manifold room)</t>
  </si>
  <si>
    <t>ProSense</t>
  </si>
  <si>
    <t>QPSH-AP-42</t>
  </si>
  <si>
    <t>Shop air supply pressure switch.</t>
  </si>
  <si>
    <t>Back Pressure Regulator (15 KSI)</t>
  </si>
  <si>
    <t xml:space="preserve">54-2160D24 </t>
  </si>
  <si>
    <t xml:space="preserve">TESCOM REGULATOR 316SS BODY, 300-15KPSI INLET PRESSURE, BUNA N SOFT GOODS, 1/4" NPT PORT_x000D_
</t>
  </si>
  <si>
    <t>54-2160T66</t>
  </si>
  <si>
    <t>Back Pressure Regulator. Max In: 15 KSI. Ports medium pressure slimline. 3/8".</t>
  </si>
  <si>
    <t>Bunker Beacon Light</t>
  </si>
  <si>
    <t>Visual Annunciators</t>
  </si>
  <si>
    <t>Patlite</t>
  </si>
  <si>
    <t>KP-24A</t>
  </si>
  <si>
    <t>24VDC Revolving Warning Light</t>
  </si>
  <si>
    <t>Bunker Beacon Light (Bulb)</t>
  </si>
  <si>
    <t>RP35_BA15S</t>
  </si>
  <si>
    <t xml:space="preserve">24V 35W </t>
  </si>
  <si>
    <t>Bunker Door Motor Control Fuses</t>
  </si>
  <si>
    <t>Fuse</t>
  </si>
  <si>
    <t>Edison</t>
  </si>
  <si>
    <t>EDCC4</t>
  </si>
  <si>
    <t>Fuse, current-limiting, time-delay,4A, 600 VAC.</t>
  </si>
  <si>
    <t>Check Valves (High Pressure)</t>
  </si>
  <si>
    <t>60KSI Check Valve</t>
  </si>
  <si>
    <t>Circ Pump Repair Kit (DC bunkers)</t>
  </si>
  <si>
    <t>Grundfos</t>
  </si>
  <si>
    <t>96511845</t>
  </si>
  <si>
    <t>Repair Kits for the CRN15-03-A-FGJ-G-V-HQQV Circulation Pump used in the Drilling Control bunkers.</t>
  </si>
  <si>
    <t xml:space="preserve">DAQ (CamDaq) System UPS </t>
  </si>
  <si>
    <t xml:space="preserve">1500VA UPS, 1200W </t>
  </si>
  <si>
    <t xml:space="preserve">DAQ (NI) 24Vdc Power Supply </t>
  </si>
  <si>
    <t>24VDC Power Supply</t>
  </si>
  <si>
    <t>NI PS-16</t>
  </si>
  <si>
    <t>24VDC Power Supply for the CRIO DAQ/CTRL Systems</t>
  </si>
  <si>
    <t>DAQ (NI) Relay Module</t>
  </si>
  <si>
    <t>NI 9481</t>
  </si>
  <si>
    <t>4 channel 120VAC relay module</t>
  </si>
  <si>
    <t xml:space="preserve">DAQ System Programming </t>
  </si>
  <si>
    <t xml:space="preserve">Valve Cycling Crack-Open Timer </t>
  </si>
  <si>
    <t>Manifold DAQ/CTRL system programming change order: update code for Valve Cycling Crack-Open Timer per request of the Cameron Gate Valve Group. The Gate Valve Group to absorb the cost.</t>
  </si>
  <si>
    <t xml:space="preserve">DAQ System UPS </t>
  </si>
  <si>
    <t>APC</t>
  </si>
  <si>
    <t>UPS SMT2200C</t>
  </si>
  <si>
    <t xml:space="preserve">APC Smart-UPS SMT2200C - UPS - 1.98 kW - 2200 VA </t>
  </si>
  <si>
    <t>DAQ System UPS (Waller Bunkers)</t>
  </si>
  <si>
    <t>Back-UPS Pro 1300</t>
  </si>
  <si>
    <t>1300VA / 780W Battery Backup Uninterruptible Power Supply (UPS)</t>
  </si>
  <si>
    <t>Directional Control Valve (SK-200660-01)</t>
  </si>
  <si>
    <t>Filter (Hydraulic)</t>
  </si>
  <si>
    <t>Hydraulic Filter</t>
  </si>
  <si>
    <t>Zinga Industries</t>
  </si>
  <si>
    <t>AE-10</t>
  </si>
  <si>
    <t>Spin on Filter 10 Micron 1" - 12 Threads 3.8" Diameter 5.8" Tall</t>
  </si>
  <si>
    <t>Fire Lab Thermocouple Probe</t>
  </si>
  <si>
    <t>Temperature Measurement</t>
  </si>
  <si>
    <t>Omega Engineering</t>
  </si>
  <si>
    <t>TJ300-CAXL-18U-48-BX-OSTW-M</t>
  </si>
  <si>
    <t xml:space="preserve">Type K. Rugged Transition Joint. Ungrounded junction. </t>
  </si>
  <si>
    <t>Gas Booster (AG-303)</t>
  </si>
  <si>
    <t>Gas Booster (AGT-62/152)</t>
  </si>
  <si>
    <t>AGT-62_152</t>
  </si>
  <si>
    <t>0414-0545</t>
  </si>
  <si>
    <t>Two-Stage Air Driven Gas Booster</t>
  </si>
  <si>
    <t>Gas Booster Impulse Counter</t>
  </si>
  <si>
    <t>Counter</t>
  </si>
  <si>
    <t>Control Line Equipment</t>
  </si>
  <si>
    <t>AC-6</t>
  </si>
  <si>
    <t>6 digit totalizing counter. Pneumatic signal or impulse.</t>
  </si>
  <si>
    <t>Gas Booster Repair Kit (model AG-303)</t>
  </si>
  <si>
    <t>55047</t>
  </si>
  <si>
    <t>55047  GAS SECTION SEAL KIT</t>
  </si>
  <si>
    <t>51545-4</t>
  </si>
  <si>
    <t>51545-4 AIR SECTION SEAL KIT</t>
  </si>
  <si>
    <t>16771</t>
  </si>
  <si>
    <t>16771 CONTROL VALVE SEAL KIT</t>
  </si>
  <si>
    <t>17327</t>
  </si>
  <si>
    <t>17327 DISTANCE PIECE SEAL KIT</t>
  </si>
  <si>
    <t>HYP Chamber Lid Seals</t>
  </si>
  <si>
    <t>O-Rings</t>
  </si>
  <si>
    <t>Performance Seals</t>
  </si>
  <si>
    <t>3575INIDX500CS</t>
  </si>
  <si>
    <t>HYP lid O-Rings. N70. 35.75INIDX.500CS</t>
  </si>
  <si>
    <t>3375IDX50CS</t>
  </si>
  <si>
    <t>33.75 ID x .50CS</t>
  </si>
  <si>
    <t>1550IDX50CS</t>
  </si>
  <si>
    <t>15.50 ID x .50CS</t>
  </si>
  <si>
    <t>LDS (HS100)</t>
  </si>
  <si>
    <t>Linear Displacement Sensor</t>
  </si>
  <si>
    <t>Micro-Measurements</t>
  </si>
  <si>
    <t>HS100</t>
  </si>
  <si>
    <t>SENSOR LINEAR DISPLACEMENT 4"</t>
  </si>
  <si>
    <t>Manifold Room Door Safety Switch</t>
  </si>
  <si>
    <t>Allen-Bradley</t>
  </si>
  <si>
    <t>TLS2-GD2</t>
  </si>
  <si>
    <t xml:space="preserve">Guard Locking Switch </t>
  </si>
  <si>
    <t>Mechanical Relays (Manifold Room)</t>
  </si>
  <si>
    <t>Mechanical Relay</t>
  </si>
  <si>
    <t>Automation Direct</t>
  </si>
  <si>
    <t>782-2C-24D</t>
  </si>
  <si>
    <t xml:space="preserve">Ice cube control relay, socket mount, 24 VDC coil voltage, DPDT, 15A contact rating._x000D_
</t>
  </si>
  <si>
    <t>782-2C-SKT</t>
  </si>
  <si>
    <t>Relay socket, 35mm DIN rail or panel mount. For use with the 782 series relays.</t>
  </si>
  <si>
    <t>Monitors (DAQ Consoles)</t>
  </si>
  <si>
    <t>Computer Monitor</t>
  </si>
  <si>
    <t>ASUS</t>
  </si>
  <si>
    <t>VA32AQ</t>
  </si>
  <si>
    <t>31.5" LED monitor-2560 x 1440 resolution</t>
  </si>
  <si>
    <t>Monitors (Wall Mount Kit)</t>
  </si>
  <si>
    <t>DWM1742MA</t>
  </si>
  <si>
    <t>TV Wall Monitor Mount Arms Swivel Tilt 17"-42" Screen</t>
  </si>
  <si>
    <t>P1</t>
  </si>
  <si>
    <t>ASL10-01SNPV</t>
  </si>
  <si>
    <t>Liquid MAWP 1600 PSI, Air-to-Liquid ratio 1:11</t>
  </si>
  <si>
    <t>P2</t>
  </si>
  <si>
    <t>ASL25-01SNPV</t>
  </si>
  <si>
    <t>Liquid MAWP 4000 PSI, Air-to-Liquid ratio 1:28</t>
  </si>
  <si>
    <t>P3</t>
  </si>
  <si>
    <t>ASL60-01SNP</t>
  </si>
  <si>
    <t>Liquid MAWP 10000 PSI, Air-to-Liquid ratio 1:70</t>
  </si>
  <si>
    <t>P4</t>
  </si>
  <si>
    <t>ASL250-01SNP</t>
  </si>
  <si>
    <t>Liquid MAWP 38400 PSI, Air-to-Liquid ratio 1:265</t>
  </si>
  <si>
    <t>P5</t>
  </si>
  <si>
    <t>ASL400-01SNP</t>
  </si>
  <si>
    <t>Liquid MAWP 57700 PSI, Air-to-Liquid ratio 1:398</t>
  </si>
  <si>
    <t>PC (DAQ Consoles)</t>
  </si>
  <si>
    <t>Sparton Rugged Electronics</t>
  </si>
  <si>
    <t>LPC-501</t>
  </si>
  <si>
    <t>PC with PCI/PCIe Expansion Slots</t>
  </si>
  <si>
    <t>PLC Module (Waller Bunkers)</t>
  </si>
  <si>
    <t>PLC</t>
  </si>
  <si>
    <t>1794-0816</t>
  </si>
  <si>
    <t>24Vdc 16 Source Output Module. (CAT 1794-OB16)</t>
  </si>
  <si>
    <t>Pneumatic Valve Assembly (60KSI Needle Valve)</t>
  </si>
  <si>
    <t>60KSI Valve Assembly</t>
  </si>
  <si>
    <t>60VM9081-C1S</t>
  </si>
  <si>
    <t>60KSI Needle Valve with Pneumatic Actuator (ATC).</t>
  </si>
  <si>
    <t>60VM9071-C1S</t>
  </si>
  <si>
    <t>PacSeal Hydraulics</t>
  </si>
  <si>
    <t>40-3114</t>
  </si>
  <si>
    <t xml:space="preserve">1-1/2" REGULATOR, KR140 HYDRAULIC PILOT OPERATED, 1" MP INLENT PORTS 1-1/2" SOCKET_x000D_
WELD OUTLET PORT. 7500 PSI INLET, 6600 PSI OUTLET_x000D_
</t>
  </si>
  <si>
    <t>61458</t>
  </si>
  <si>
    <t>Wave spring for Tescom model 26-2062D24A250</t>
  </si>
  <si>
    <t>Tescom 54-2000 Series pressure reducing regulator. 10KSI, Viton-A O-RING, 1/4" NPT.</t>
  </si>
  <si>
    <t>Pressure Regulator (Gas Booster Air Supply Regulator)</t>
  </si>
  <si>
    <t>R31-08-R00</t>
  </si>
  <si>
    <t>Remote Operated Pressure Regulator, 5 to 160 PSIG, 1" port size.</t>
  </si>
  <si>
    <t>PPC5C-ABB-AGAB-CAA-AE</t>
  </si>
  <si>
    <t>PPC, 0-100 PSI, 4-20mA</t>
  </si>
  <si>
    <t>Rebuild Kits (Dynex Pump PF4303H-XVA-11)</t>
  </si>
  <si>
    <t>Hydraulic Seals</t>
  </si>
  <si>
    <t>Dynex</t>
  </si>
  <si>
    <t xml:space="preserve">KP43009011 </t>
  </si>
  <si>
    <t>DYNEX SEAL KIT</t>
  </si>
  <si>
    <t>Rebuild Kits (R31-08-R00 Wilkerson Pressure Regulator)</t>
  </si>
  <si>
    <t>RRP-95-152</t>
  </si>
  <si>
    <t>Repair kit for the R31-08-R00 pressure regulator.</t>
  </si>
  <si>
    <t>Rebuild Kits (check valves manifold room)</t>
  </si>
  <si>
    <t>RCKO4400</t>
  </si>
  <si>
    <t>Rebuild kit for CKO4400 high pressure check valve.</t>
  </si>
  <si>
    <t>Rebuild Kits (model ASL pumps)</t>
  </si>
  <si>
    <t xml:space="preserve">RF-ASL400-01NP </t>
  </si>
  <si>
    <t>REBUILD KIT for ASL400-01SNP</t>
  </si>
  <si>
    <t xml:space="preserve">RF-ASL250-01NP </t>
  </si>
  <si>
    <t>REBUILD KIT for ASL250-01SNP</t>
  </si>
  <si>
    <t xml:space="preserve">RF-ASL60-01NP </t>
  </si>
  <si>
    <t>REBUILD KIT for ASL60-01SNP</t>
  </si>
  <si>
    <t xml:space="preserve">RF-ASL25-01NPV </t>
  </si>
  <si>
    <t>REBUILD KIT for ASL25-01SNPV</t>
  </si>
  <si>
    <t xml:space="preserve">RF-ASL10-01NPV </t>
  </si>
  <si>
    <t>REBUILD KIT for ASL10-01SNPV</t>
  </si>
  <si>
    <t>Rebuild Kits (relief valve)</t>
  </si>
  <si>
    <t>Relief Valve</t>
  </si>
  <si>
    <t>R20RVP</t>
  </si>
  <si>
    <t>Repair/Rebuild kits for the 20RVP9072 relief valve.</t>
  </si>
  <si>
    <t>Relief Valve (High Pressure)</t>
  </si>
  <si>
    <t>20RVP9072</t>
  </si>
  <si>
    <t>20RVP9072, RVP Metal Seat Relief Valves</t>
  </si>
  <si>
    <t>Repair Kit ( 50-2062D24A250 Pressure Regulator)</t>
  </si>
  <si>
    <t>JT389-5020-2D52</t>
  </si>
  <si>
    <t>REPAIR KIT FOR TESCOM MODEL 50-2062D24A250</t>
  </si>
  <si>
    <t>Repair Kit ( 50-2065D24A270 Pressure Regulator)</t>
  </si>
  <si>
    <t>JT389-5020-4D72</t>
  </si>
  <si>
    <t>REPAIR KIT FOR TESCOM MODEL 50-2065D24A270</t>
  </si>
  <si>
    <t>Repair Kit (26-2062D24A250 Pressure Regulator)</t>
  </si>
  <si>
    <t>JT389-9119</t>
  </si>
  <si>
    <t>Tescom repair kit for model 26-2062D24A250</t>
  </si>
  <si>
    <t>Repair Kit (50-2261D44A25004 Pressure Regulator)</t>
  </si>
  <si>
    <t>Emerson</t>
  </si>
  <si>
    <t>JT389-XXXXX</t>
  </si>
  <si>
    <t>repair kit for model 50-2261D44A15004, includes sub-assemblies.</t>
  </si>
  <si>
    <t>Repair Kit (54-2160T66 Pressure Regulator)</t>
  </si>
  <si>
    <t>JT389-9395</t>
  </si>
  <si>
    <t>TESCOM REPAIR KIT FOR MODEL 54-2160T66</t>
  </si>
  <si>
    <t>Repair Kit (54-2161D24 Pressure Regulator)</t>
  </si>
  <si>
    <t>389-6501-D</t>
  </si>
  <si>
    <t>Tescom repair kit for model 54-2161D24 10 KSI pressure regulator.</t>
  </si>
  <si>
    <t>Repair Kit (KR-140 regulator)</t>
  </si>
  <si>
    <t xml:space="preserve">40-3114-MAJ </t>
  </si>
  <si>
    <t xml:space="preserve">MAJOR REPAIR KIT FOR REGULATOR KR-140 MODEL #KR140-X76H-3_x000D_
</t>
  </si>
  <si>
    <t>Repair Kit (Tescom Pressure Regulator)</t>
  </si>
  <si>
    <t xml:space="preserve">JT389-5020-1D52 </t>
  </si>
  <si>
    <t xml:space="preserve">JT389-5020-1D52 TESCOM REPAIR KIT FOR REGULATOR_x000D_
MODEL 50-2061D24S250_x000D_
</t>
  </si>
  <si>
    <t xml:space="preserve">SV-150 Control Valve Repair Kits </t>
  </si>
  <si>
    <t>40-2219</t>
  </si>
  <si>
    <t>SV150 Seal kit contains seal rings</t>
  </si>
  <si>
    <t>40-2222</t>
  </si>
  <si>
    <t>SV150 Manipulator Minor repair kit</t>
  </si>
  <si>
    <t>40-2223</t>
  </si>
  <si>
    <t>SV150-12N3ILM1RN Manipulator Major repair kit</t>
  </si>
  <si>
    <t>Seals (1.0 MM PTM)</t>
  </si>
  <si>
    <t>Parker</t>
  </si>
  <si>
    <t>461562511250-1000_B</t>
  </si>
  <si>
    <t>Polypaks. 12.5" OD x 11.25" ID x.625 cross section by 1" long</t>
  </si>
  <si>
    <t>461537505000-625_B</t>
  </si>
  <si>
    <t xml:space="preserve">Polypaks. 5.75" OD x 5.00" ID x .375" cross section x.625" long </t>
  </si>
  <si>
    <t>N1059-2-443</t>
  </si>
  <si>
    <t xml:space="preserve">Nitrile 90 ±5 Shore A Durometer. Inside Dia.: 7.475", Cross section: .275" </t>
  </si>
  <si>
    <t>Solenoid Valve (bunker)</t>
  </si>
  <si>
    <t>08F22C2140A3F4C80</t>
  </si>
  <si>
    <t xml:space="preserve">Parker 2-Way Normally Closed, 1/2 inch NPT Solenoid Valves provide operating pressures up to 300 PSI and flow factors up to 4.4 CV._x000D_
</t>
  </si>
  <si>
    <t>56C-13-591JC</t>
  </si>
  <si>
    <t>NC only valve 1/2” NPTF. 24 VDC, 2.5 watts.</t>
  </si>
  <si>
    <t>Sump Pump (Medium Bay Test Cells)</t>
  </si>
  <si>
    <t>Air-Operated Double Diaphragm pump.</t>
  </si>
  <si>
    <t>TCU Cryogenic Solenoid Valves</t>
  </si>
  <si>
    <t>Solenoid Valve (cryogenic)</t>
  </si>
  <si>
    <t>Valcor Engineering Corporation</t>
  </si>
  <si>
    <t xml:space="preserve">SV97C88HC3B </t>
  </si>
  <si>
    <t>Solenoid Valve (cryogenic) -NC- 1/4"NPT</t>
  </si>
  <si>
    <t>Redhat</t>
  </si>
  <si>
    <t>SV91D28C5C</t>
  </si>
  <si>
    <t>2-way, normally closed, direct acting cryogenic solenoid valve. 3/8" NPT. Flow coefficient (Cv=1.00), .234 orifice size.</t>
  </si>
  <si>
    <t>TCU Heating Elements</t>
  </si>
  <si>
    <t>Heating Elements</t>
  </si>
  <si>
    <t>Tempco Electric Heater Corporation</t>
  </si>
  <si>
    <t>TCU Hour Meter</t>
  </si>
  <si>
    <t>Hour Meter</t>
  </si>
  <si>
    <t>REDINGTON</t>
  </si>
  <si>
    <t>722-0004</t>
  </si>
  <si>
    <t>Hour Meter, Electromechanical Display, 120 to 240VAC, 0 to 99999.9 range.</t>
  </si>
  <si>
    <t>TCU Solid State Relay</t>
  </si>
  <si>
    <t>Solid State Relay</t>
  </si>
  <si>
    <t>Crydom</t>
  </si>
  <si>
    <t>HD4850</t>
  </si>
  <si>
    <t>4-32VDC input|480VAC-50A output</t>
  </si>
  <si>
    <t>TCU Solid State Timer</t>
  </si>
  <si>
    <t>Solid-state Multi-functional Timer</t>
  </si>
  <si>
    <t>Omron</t>
  </si>
  <si>
    <t>H3CR-F8</t>
  </si>
  <si>
    <t xml:space="preserve">Solid-state Timers  for Bemco TCU defrost </t>
  </si>
  <si>
    <t>Thermal Chamber (Pit 5)</t>
  </si>
  <si>
    <t>Cincinnati Sub Zero Products, Inc.</t>
  </si>
  <si>
    <t>54024</t>
  </si>
  <si>
    <t xml:space="preserve">WINDOW, HEATED TEMPERED_x000D_
</t>
  </si>
  <si>
    <t>Type K Thermocouples</t>
  </si>
  <si>
    <t>HSTC-TT-K-24S-300-SMPW-CC</t>
  </si>
  <si>
    <t>Type K Thermocouples. Hermetically Sealed Tip T/C.</t>
  </si>
  <si>
    <t>UPS Battery Replacement (Waller Bunkers)</t>
  </si>
  <si>
    <t>BX1500M</t>
  </si>
  <si>
    <t>Maintenance-free sealed Lead-Acid battery with suspended electrolyte.</t>
  </si>
  <si>
    <t>Valve Repair Kits (R60VM7-C1S)</t>
  </si>
  <si>
    <t>R60VM7-C1S</t>
  </si>
  <si>
    <t>Repair kit for C1S</t>
  </si>
  <si>
    <t>Valve Repair Kits (R60VM7-O1S)</t>
  </si>
  <si>
    <t>R60VM7-O1S</t>
  </si>
  <si>
    <t>Repair kit for O1S</t>
  </si>
  <si>
    <t>Water Filter Cartridge (Manifold Room)</t>
  </si>
  <si>
    <t>2P696</t>
  </si>
  <si>
    <t>20 Micron Rating Filter Cartridge, 9-5/8" Diameter, 10" Height, 5.00 gpm</t>
  </si>
  <si>
    <t>6637T55</t>
  </si>
  <si>
    <t>Filter Cartridge for Rust, Particles &amp; Sediment for Water, Polypropylene, 10" High x 2-1/2" OD, 5 Microns</t>
  </si>
  <si>
    <t>Water Filter Housing (Manifold Room)</t>
  </si>
  <si>
    <t>6PAU1</t>
  </si>
  <si>
    <t>Cartridge Filter Housing, 316 Stainless Steel</t>
  </si>
  <si>
    <t>Z3 to Z2 Liquid</t>
  </si>
  <si>
    <t>PC at the test cell or test pit. Used for DAQ/CTRL.</t>
  </si>
  <si>
    <t>N/A-System reconfigured to support test plan</t>
  </si>
  <si>
    <t xml:space="preserve">Pac seal rebuild kits required. Requistions to be submitted ASAP._x000D_
per the most recent BOM: 1-1/2 inch REGULATOR, KR140 HYDRAULIC PILOT OPERATED, 1 inch MP INLENT PORTS 1-1/2 inch SOCKET_x000D_
WELD OUTLET PORT. 7500 PSI INLET, 6600 PSI OUTLET. MFR P/N: 40-3114_x000D_
_x000D_
_x000D_
</t>
  </si>
  <si>
    <t>Pressure Regulator (40-3114)</t>
  </si>
  <si>
    <t>50-2261D44A25004</t>
  </si>
  <si>
    <t>Test Pit hydrualic control panel and manifold.</t>
  </si>
  <si>
    <t>Inaccurate Data Display</t>
  </si>
  <si>
    <t>Load resistor required on the RS-485 connection.</t>
  </si>
  <si>
    <t>Failed RS-485 Serial Communication</t>
  </si>
  <si>
    <t>Failed RS-485 Serial Interface</t>
  </si>
  <si>
    <t>8/23/18: Differences in cRIO and PC clocks. cRIO now provides all timestamps.</t>
  </si>
  <si>
    <t>Failed Timestamp Synchronization (cRIO and PC)</t>
  </si>
  <si>
    <t xml:space="preserve"> 8/23/18: Load resistor required on the RS-485 connection.</t>
  </si>
  <si>
    <t>DAQ Software Hang</t>
  </si>
  <si>
    <t xml:space="preserve">8/23/18: No root cause known.
_x000D_
</t>
  </si>
  <si>
    <t>8/23/18: No root cause known.</t>
  </si>
  <si>
    <t>8/23/18: Load resistor required on RS-485 connection</t>
  </si>
  <si>
    <t xml:space="preserve">8/23/18: No root cause identified. Believe to be a buffer overflow
</t>
  </si>
  <si>
    <t>5/25/18: cRIOs provide timestamps and graphs clear when test info entered.	Fixed. 
8/23/18: Issues with cRIO and PC clocks. cRIO sources timestamps now.</t>
  </si>
  <si>
    <t>Unable to locate sensor certification documents</t>
  </si>
  <si>
    <t>DAQ Software Bug</t>
  </si>
  <si>
    <t>5/25/18: Found bug preventing cert generator from receiving TC data and pressure gauge data. Fixed.
8/23/18: Software was not correctly identifying thermocouple barcodes as thermocouples. Was treating them as errors.</t>
  </si>
  <si>
    <t>Software Modification</t>
  </si>
  <si>
    <t>DAQ system data logging not consistant</t>
  </si>
  <si>
    <t>DAQ Software Buffer</t>
  </si>
  <si>
    <t>5/25/18: Moved file writes to another thread to prevent file writes taking longer than loop cycle. Fixed.
8/23/18: cRIO could not keep up with file i/o. Modified software to buffer log data and write entire buffer at slower intervals.</t>
  </si>
  <si>
    <t xml:space="preserve">8/23/16: Not sure this requirement was in the SRS. Software hadn’t been written to operate the way operator was expecting. UI modified to meet the expected behavior._x000D_
</t>
  </si>
  <si>
    <t>Incorrect Data Format</t>
  </si>
  <si>
    <t>8/23/18: Added a line feed character in logger when it was unnecessary</t>
  </si>
  <si>
    <t>EMR-408</t>
  </si>
  <si>
    <t>After update to repair broken cycle counter in pump/dump program, the program will not perform pump/dumps.  It launches but will not cycle the supply/vent valves on that port after criteria is met.</t>
  </si>
  <si>
    <t>Failed Software Function</t>
  </si>
  <si>
    <t>8/23/18: Root cause unknown. The cRIO would only crash and revert to safe mode in the event of a critical Linux error.</t>
  </si>
  <si>
    <t>Pressure Regulator (HPU Pits 1-4)</t>
  </si>
  <si>
    <t>Excelon</t>
  </si>
  <si>
    <t>B73G-3AK-AD3-RMG</t>
  </si>
  <si>
    <t>Excelon B73G Series, filter/regulator, 3/8 inch PTF ports, relieving, 40 µm, auto drain, metal bowl with sight glass, with gauge.</t>
  </si>
  <si>
    <t>Thread &amp; Coning Machine</t>
  </si>
  <si>
    <t>EMR-409</t>
  </si>
  <si>
    <t xml:space="preserve">Air regulator is leaking and needs to be replaced before failure.  </t>
  </si>
  <si>
    <t>EMR-410</t>
  </si>
  <si>
    <t>Valve not opening, discovered setscrew missing but didn’t find laying on floor.  Since in middle of testing I am venting through VBV-2 so I can keep going.  Expect to look for missing setscrew after testing is complete and I can move equipment out of area.  I would also suggest we look into using Loctite on these setscrews.</t>
  </si>
  <si>
    <t>Electric Actuated Flow Regulating Needle Valve</t>
  </si>
  <si>
    <t>60VM9081-FRC2</t>
  </si>
  <si>
    <t>60VM Series High Pressure Needle Valve assembly with Electric Flow Regulating Actuator.</t>
  </si>
  <si>
    <t>HCTC Maintenance trouble shooting and repair of defective regulator._x000D_
_x000D_
9/17/18 Pat and I cleaned the regulator and found it full of  air compressor oil . The  regulator was checked and placed back in service in cell 17. Note * There are now three new regulators in J99-Critical parts inventory. Rigo</t>
  </si>
  <si>
    <t>HCTC Maintenance notified._x000D_
9-10-2018 Sent e-mail to Stan and he called Bay Area Crane._x000D_
_x000D_
9/13/2018 Bay Area Crane repaired the crane and it is back in service. Technician adjusted the brake and replaced the blown fuse. Rigo</t>
  </si>
  <si>
    <t>EMR-411</t>
  </si>
  <si>
    <t>Unit wasn’t going to its max heat.</t>
  </si>
  <si>
    <t>Shelby Hadash</t>
  </si>
  <si>
    <t>Replaced Defective Component</t>
  </si>
  <si>
    <t>Failed Fuse</t>
  </si>
  <si>
    <t>(Shelby): I checked all the fuses and one was out I got with rigo , and replaced the fuse , unit is working good now .</t>
  </si>
  <si>
    <t>EMR-412</t>
  </si>
  <si>
    <t>Will not go cold, once temp is set to 100 it throws a chamber fault , if its above 100 it will work fine.</t>
  </si>
  <si>
    <t>TCU Failed Cooling</t>
  </si>
  <si>
    <t>EMR-413</t>
  </si>
  <si>
    <t>Going cold and the heater chamber ice blocked , seems like the defrost isn’t working correctly.</t>
  </si>
  <si>
    <t>TCU Failed Defrost</t>
  </si>
  <si>
    <t>EMR-414</t>
  </si>
  <si>
    <t xml:space="preserve">Not heating fully, and cold light is  on all the time </t>
  </si>
  <si>
    <t>TCU Failed Heating</t>
  </si>
  <si>
    <t>EMR-415</t>
  </si>
  <si>
    <t>Not heating up fully , only will heat up to a certain temp.</t>
  </si>
  <si>
    <t>EMR-416</t>
  </si>
  <si>
    <t xml:space="preserve">Need to put 30 amp plug on unit.  Right now unit has 60 amp plug. </t>
  </si>
  <si>
    <t>EMR-417</t>
  </si>
  <si>
    <t xml:space="preserve"> Leaks from bottom nut while under pressure.</t>
  </si>
  <si>
    <t>Find and/or replace set screw. Apply Loctite on the set screws for CELL16 and the remaining test cells when they are available._x000D_
_x000D_
9/18/2018 I ordered low strength ( purple loctite ) from Grainger and it came in today. I will check with medium bay leadmen to see when the set screws can by serviced with the purple loctite. _x000D_
_x000D_
9/19/2018 I talked to Chris Goodwater and he says he used blue loctite on the set screw. I gave him a tube of the purple loctite on 9/19/2018. Rigo</t>
  </si>
  <si>
    <t>HCTC Maintenance notified._x000D_
9/19/2019 30 Amp plug installed on unit-4. Rigo/Pat</t>
  </si>
  <si>
    <t>EMR-418</t>
  </si>
  <si>
    <t>The stem of 2” ball valve from outside of supply line didn’t work properly</t>
  </si>
  <si>
    <t>Ball Valve-HYDAC (Drilling Controls)</t>
  </si>
  <si>
    <t>HYDAC</t>
  </si>
  <si>
    <t>KHM3H-SP-2SW-3312</t>
  </si>
  <si>
    <t>Accumulator (Drilling Controls 10KSI)</t>
  </si>
  <si>
    <t>Accumulators, Inc.</t>
  </si>
  <si>
    <t>A1510100XS</t>
  </si>
  <si>
    <t>Bladder Accumulator. Standard (ASME) , 15 Gallon, 10 KSI, Extreme Service, Buna-Nitrile bladder.</t>
  </si>
  <si>
    <t>High Pressure Ball Valve, size 2 inch, MAWP 6000 psi</t>
  </si>
  <si>
    <t>Thermocouple</t>
  </si>
  <si>
    <t>EMR-419</t>
  </si>
  <si>
    <t xml:space="preserve">One 15 gallon 10k accumulator bottle has a bad bladder. </t>
  </si>
  <si>
    <t>Remove the accumulator bottle from the bank and replace the bladder. Bladders to be ordered for CSP inventory.</t>
  </si>
  <si>
    <t>EMR-420</t>
  </si>
  <si>
    <t>The peek seats have been damaged. (see attached pictures)</t>
  </si>
  <si>
    <t>STA-KON</t>
  </si>
  <si>
    <t>225B-526AAAA</t>
  </si>
  <si>
    <t>150 PSI, 24 VDC, 2.5 Watts</t>
  </si>
  <si>
    <t>Tescom 50-2061D24S250 (component)</t>
  </si>
  <si>
    <t>61336-8</t>
  </si>
  <si>
    <t>Connector CV .12/.06 (Metal Seat)</t>
  </si>
  <si>
    <t>EMR-421</t>
  </si>
  <si>
    <t>Solenoid Valve D2 CD-FO:5/02   is actuating valve D2 when locking the manifold door causing the normally closed valve to open.</t>
  </si>
  <si>
    <t>Solenoid Valve (D2 CD-FO_5_02)</t>
  </si>
  <si>
    <t>Inadvertant valve actuation</t>
  </si>
  <si>
    <t>Trouble-shooting. Most likely a wiring issue. Review the CAE wiring schematics to identify root cause.</t>
  </si>
  <si>
    <t>28 Sept 2018 Parts are on shelf B3B in Room J99 Critical parts room.</t>
  </si>
  <si>
    <t>9-28-2018 Parts ordered are on shelf B3B in room J99.</t>
  </si>
  <si>
    <t>28 Sept. 2018 Job completed .</t>
  </si>
  <si>
    <t>EMR-422</t>
  </si>
  <si>
    <t xml:space="preserve">Shaft seal on precharge pump for HPU is leaking R-200. </t>
  </si>
  <si>
    <t>EMR-423</t>
  </si>
  <si>
    <t>15 KSI pressure sensor max out at 9850 psi. Scale appears to read 2x higher than typical scale. 10 KSI sensors on the same test read correct scale and offset.</t>
  </si>
  <si>
    <t>Incorrect Sensor Reading</t>
  </si>
  <si>
    <t>198-18</t>
  </si>
  <si>
    <t>DAQ Module (NI-9220)</t>
  </si>
  <si>
    <t>NI-9220</t>
  </si>
  <si>
    <t xml:space="preserve">NI-9220, +/-10VDC input </t>
  </si>
  <si>
    <t>Inlet Pressure: 30 KSI, Outlet Pressure: 30 KSI, Cv=.02</t>
  </si>
  <si>
    <t>Liquid Nitrogen Leak</t>
  </si>
  <si>
    <t>Thermal Cycling</t>
  </si>
  <si>
    <t>Camera (no display)</t>
  </si>
  <si>
    <t>No communication (PC to TCU)</t>
  </si>
  <si>
    <t>IT Security Requirement</t>
  </si>
  <si>
    <t>EMR-424</t>
  </si>
  <si>
    <t>pressure vessel failure</t>
  </si>
  <si>
    <t>over pressurized component</t>
  </si>
  <si>
    <t>Gas booster air supply filter failure due to over pressure. _x000D_
Existing filter was used at TDC which used a lower pressure (120 psi max) air compressor. The air compressor at the HCTC facility is at approximately 140 psi.</t>
  </si>
  <si>
    <t>Hatfield &amp; Company has a 200 psi rated filter cartridge. All of the mobile gas booster from the TDC facility will be upgraded to the 200 psi rated filters. _x000D_
Do Not Use the mobile gas boosters until this change-out is complete.</t>
  </si>
  <si>
    <t>GROUP A TESCOM AB-FO_3_1</t>
  </si>
  <si>
    <t>Electropneumatic Controller</t>
  </si>
  <si>
    <t>ER5000SI-1</t>
  </si>
  <si>
    <t xml:space="preserve">Microprocessor based PID (Proportional,_x000D_
Integral, Derivative) electropneumatic controller. Max pressure: 120 psi </t>
  </si>
  <si>
    <t>HYDRO_45000</t>
  </si>
  <si>
    <t>HF-450</t>
  </si>
  <si>
    <t>Haskel Model HF-450 1.5HP Air-Driven Liquid Pump. With a nominal pressure ratio of 450:1, the Haskel model HF-450 1.5HP air-driven liquid pump utilizes a single air head to boost liquid pressures to a maximum of 45000 PSIG. Max Air Inlet Pressure: 150 PSIG.</t>
  </si>
  <si>
    <t>EMR-425</t>
  </si>
  <si>
    <t>Tescom Valve NO and Tescom Valve NC are not responding when activating Group A with ER5000 SI.</t>
  </si>
  <si>
    <t>EMR-426</t>
  </si>
  <si>
    <t>The 45K Haskel Pump is only pressuring up to approximately 15K.</t>
  </si>
  <si>
    <t>Pump does not reach rated pressure.</t>
  </si>
  <si>
    <t>Valve does not actuate on command</t>
  </si>
  <si>
    <t>Jan</t>
  </si>
  <si>
    <t>Feb</t>
  </si>
  <si>
    <t>Mar</t>
  </si>
  <si>
    <t>Apr</t>
  </si>
  <si>
    <t>May</t>
  </si>
  <si>
    <t>Jun</t>
  </si>
  <si>
    <t>Jul</t>
  </si>
  <si>
    <t>Aug</t>
  </si>
  <si>
    <t>Sep</t>
  </si>
  <si>
    <t>Rohama adjusted a FPGA filter that was responsible for clipping the sensor output. The fix was installed on all of the high bay PIT computers.</t>
  </si>
  <si>
    <t>EMR-427</t>
  </si>
  <si>
    <t xml:space="preserve">One of the air regulators installed on the CMM is leaking air. Please see Roy V.
</t>
  </si>
  <si>
    <t>Daniel Escamilla</t>
  </si>
  <si>
    <t>Inspection</t>
  </si>
  <si>
    <t>Air Pressure Regulator (Inspection-CMM)</t>
  </si>
  <si>
    <t>R12-02-000A</t>
  </si>
  <si>
    <t>Air Supply Leak</t>
  </si>
  <si>
    <t>air line pressure regulator, 71.5 SCFM, 1/4 inch NPT ports, Max supply pressure 300 psig,</t>
  </si>
  <si>
    <t>Air Supply Filter (Inspection-CMM)</t>
  </si>
  <si>
    <t>F16-02-000B_EM</t>
  </si>
  <si>
    <t>Particulate Filter,_x000D_
port size 1/4 inch NPT, manual drain, max supply pressure 200 psi</t>
  </si>
  <si>
    <t>Coalescing Filter (Inspection-CMM)</t>
  </si>
  <si>
    <t>M16-02-FU0B</t>
  </si>
  <si>
    <t>Type “M” Oil Removal (Coalescing) Filters with Type “B”_x000D_
0.5 micron element. port size 1/4 inch NPT, Max supply pressure 150 psig.</t>
  </si>
  <si>
    <t>HA4850</t>
  </si>
  <si>
    <t>90-280vac input|480vac output</t>
  </si>
  <si>
    <t>10/04/2018 In stalled the new regulator and put on the other in stock on shelf C4B.</t>
  </si>
  <si>
    <t>Barcode Scanner</t>
  </si>
  <si>
    <t>Barcode Scanners</t>
  </si>
  <si>
    <t>Wasp Barcode Technologies</t>
  </si>
  <si>
    <t>W192970</t>
  </si>
  <si>
    <t>Scans various barcode formats. Used for scanning sensors and HCTC inventory.</t>
  </si>
  <si>
    <t>TCU High Temperature Ring Terminal</t>
  </si>
  <si>
    <t>NW14-10</t>
  </si>
  <si>
    <t>Ring Terminal, Bare Bare, Brazed Seam, 16 to 14 AWG, max temperature 1200 degrees F, max voltage 600V</t>
  </si>
  <si>
    <t>EMR-428</t>
  </si>
  <si>
    <t>Pulsating pressure and reduced volume output.  Relief leaking fluid.</t>
  </si>
  <si>
    <t>EMR-429</t>
  </si>
  <si>
    <t xml:space="preserve">Manifold room flooded due to ruptured burst disk._x000D_
Electrical equipment in manifold room exposed to test fluid._x000D_
</t>
  </si>
  <si>
    <t>Slow Heat</t>
  </si>
  <si>
    <t xml:space="preserve">10-9-18 rebuilt the Black Dynex pump (SN 166601 Model# PF4303H-XVA-11)._x000D_
10-10-18Replaced the red Dynex pump (SN 178218 Model# PF4303H-XVA-11) with the rebuilt Dynex pump (SN 166601)._x000D_
We ran the pump to test and installed a finer mesh Donaldson Strainer (PN  P169013)_x000D_
</t>
  </si>
  <si>
    <t>Unable to lift or lower load</t>
  </si>
  <si>
    <t>Blown Fuse</t>
  </si>
  <si>
    <t>Removed bad pump (S/N 5126690-2  Model# HF-450) and replaced it with rebuilt pump (S/N5607258-1  Model# HF-450)</t>
  </si>
  <si>
    <t>Modification or Upgrade</t>
  </si>
  <si>
    <t>All Bays</t>
  </si>
  <si>
    <t>Loss of Pressure</t>
  </si>
  <si>
    <t>Component or System Replaced</t>
  </si>
  <si>
    <t>IT Corrective Action</t>
  </si>
  <si>
    <t>Installed Seal Repair Kit</t>
  </si>
  <si>
    <t>Unable to reach rated pressure</t>
  </si>
  <si>
    <t>Seal Leak</t>
  </si>
  <si>
    <t>Component or System Installation</t>
  </si>
  <si>
    <t>Component or System Not Installed</t>
  </si>
  <si>
    <t>Do Not Conduct Test</t>
  </si>
  <si>
    <t xml:space="preserve">Rebuilt Pump  146404-0020-03-1 and installed on Cell 17. Tested good._x000D_
Replaced side inlet pump Head (201D-1776) and The Cone PLUG (101f-4740)_x000D_
</t>
  </si>
  <si>
    <t>Replaced main block</t>
  </si>
  <si>
    <t>Over torqued fitting</t>
  </si>
  <si>
    <t>Pat/Rigo - The pump from cell 17 was installed in cell 20. We rebuilt the pump from cell 20 and installed it in cell 17. Tested and working.</t>
  </si>
  <si>
    <t>10 October 2018 I was not able to locate to inspect the unit and was told it is in operation. Rigo</t>
  </si>
  <si>
    <t>Erdos Miller quote for the programming change to speed up the cycling by starting the actuator bleed after the crack open and a delay: The expedited delivery date is July 20th assuming they get a PO next week. Cost $6054._x000D_
_x000D_
20Aug18 RAF- Programming complete. Waiting for break in testing to deply to bunker._x000D_
Technicians need to notify Operations when the bunker is available to deploy the update._x000D_
Originator approved to close this EMR.</t>
  </si>
  <si>
    <t>9/4/2018: Tubing suppling the solenoid was twisted due to over tightening when the N2 supply line was installed. The constriction most likely resulted in reduced flow. Tubing will be replaced and the system checked. If the solenoid is not defective, it will not be replaced._x000D_
9/4/2018 : Ordered copper tubing Grainger stk # 3P672 Pat_x000D_
9/6/2018 Copper tubing recieved and installed . Unit taken over back to Waller Bunker to be checked out on 10/3/2018 with Mike Watkins help.Pat/Rigo_x000D_
10 October 2018 Mike checked out unit and is operational.</t>
  </si>
  <si>
    <t>9/24/2018 New Valcor 1/4" npt solenoid valves installed. P/N SV97C88HC3B. New copper tubing installed and raised to allow backup wrench to be used to prevent copper tube from twisting closed. _x000D_
WIP on now getting unit a  operational check._x000D_
10 October 2018 Unit checked out and working.</t>
  </si>
  <si>
    <t>10 October 2018 Unit repaired by Mike and back in service. Controler replaced and SSR replaced.</t>
  </si>
  <si>
    <t>Heaters and heater wire need to be replaced. Replace insulation._x000D_
_x000D_
10 October 2018 New Heaters and wires installed by Mike. New solenoids installed by Rigo _x000D_
Back in service.</t>
  </si>
  <si>
    <t xml:space="preserve">10 October 2018 Unit back in service._x000D_
 Heater coils and SSR replaced._x000D_
_x000D_
</t>
  </si>
  <si>
    <t>10 October 2018 Unit is good. The weep hole for loose fitting at outlet is located under the bottom nut and that is why fluid was dripping from there. Rigo</t>
  </si>
  <si>
    <t xml:space="preserve">The ER5000SI-1 has a rated inlet pressure of 110 PSIG. Shop air supply pressure is approximately 140 PSIG. This is a potential cause of the failure._x000D_
_x000D_
There is a regulator that reduces shop air to operate the manifold. Reduce pressure to within ratings._x000D_
</t>
  </si>
  <si>
    <t>After we installed the  rebuilt pump we cleaned the oil from the unit and tested. Did not see a leak.</t>
  </si>
  <si>
    <t>EMR-430</t>
  </si>
  <si>
    <t>Need to install 60amp plug on HPU.</t>
  </si>
  <si>
    <t>Completed by HCTC Maintenance. EMR closed.</t>
  </si>
  <si>
    <t>195-18</t>
  </si>
  <si>
    <t>EMR-431</t>
  </si>
  <si>
    <t xml:space="preserve">Replace the 1 MM PTM seals. </t>
  </si>
  <si>
    <t>Replaced Seals</t>
  </si>
  <si>
    <t xml:space="preserve">(Benjamin Berryhill): we replaced the polypaks and oring in the 1MM PTM at HCTC.  We found on disassembly that the drawing, 599514-10-36, is inaccurate on the PTM internals as well as on the stroke.  The stroke recorded on the drawing is at least 2” shorter than the actual stroke.  Also, TDC policies &amp; procedures document T should be updated on the 1MM PTM’s stroke._x000D_
The piston appears to be a single piece threaded to the bottom of the mandrel, not as shown in the drawing. Refer to the photos. I suggest the PTM stroke be measured and the drawing revised accordingly.  _x000D_
</t>
  </si>
  <si>
    <t>EMR-432</t>
  </si>
  <si>
    <t>String appears to be missing one word on the certification document, so everything else got moved over one field. Also (and this is more critical than ANY thing else associated with the barcodes) the pressure sensor span was incorrect (some crazy number X10 -7). If the sensor span is incorrect, the pressure readings will be incorrect resulting in substantial damage to property and people.</t>
  </si>
  <si>
    <t>Incorrect sensor bar code scan</t>
  </si>
  <si>
    <t>064-18</t>
  </si>
  <si>
    <t>EMR-433</t>
  </si>
  <si>
    <t>Camera monitor not working, will not turn on. Blank screen.</t>
  </si>
  <si>
    <t xml:space="preserve">Root Cause:_x000D_
The new barcode scanners type much faster than the old scanners (1 keystroke per 1ms). The speed was too fast for the scan wizard interface to handle_x000D_
 _x000D_
Resolution:_x000D_
In order to implement the placeholder text (the text that says “Scan barcode here”) on the scan wizard interface and make it disappear when a scan occurs, I had to implement a key down filter event in software. This filter event clears out the current text and also filters out undesirable keys like ‘ctrl’. Unfortunately, it appears that this filter event adds processing time to keyboard entry. This processing time was enough to prevent it from processing keystrokes at a 1kHz rate and some keystrokes from the barcode were being missed entirely._x000D_
 _x000D_
To fix, I removed the key down filter event and chose to instead remove the placeholder text after the user scans a barcode. The downside to this approach is the placeholder text does not disappear until the full barcode has been typed in by the barcode scanner. However, this is an aesthetic issue and has no effect on the actual operation of the software._x000D_
 _x000D_
I scanned barcodes back to back about 50 times after implementing the fix and did not miss a keystroke. Thus, I believe the issue has been resolved._x000D_
 _x000D_
Additional Notes:_x000D_
The scan wizard is now processing text input as fast as it possibly can. If the software continues to pick up keystrokes from the scanner in version 0.3.5 and onwards, I suggest lowering the keystroke rate on the scanner itself. The user manual provided by WASP has QR codes that can be scanned to lower the typing speed from 1-10ms per keystroke._x000D_
</t>
  </si>
  <si>
    <t>Robert Kercheval (IT)</t>
  </si>
  <si>
    <t>PC Failure</t>
  </si>
  <si>
    <t>IT (Robert Kercheval) reported a defective PC or PC power supply. PC issue repaired/replaced EMR closed.</t>
  </si>
  <si>
    <t>EMR-434</t>
  </si>
  <si>
    <t>After running a day or so the screen is frozen and only option is to shut down pc with a hard boot.  This problem is consistent.</t>
  </si>
  <si>
    <t>EMR-435</t>
  </si>
  <si>
    <t>Supply voltage low causing alarm.</t>
  </si>
  <si>
    <t>False O2 Sensor Alarm</t>
  </si>
  <si>
    <t>Is this a function that was captured in the SRS? If so, then it needs to be implemented._x000D_
_x000D_
8Nov18; Corrected in last update.</t>
  </si>
  <si>
    <t>IT NotifieD_x000D_
Replaced defective PC</t>
  </si>
  <si>
    <t>Water shutoff valve</t>
  </si>
  <si>
    <t>Pilot valve</t>
  </si>
  <si>
    <t>ASCO</t>
  </si>
  <si>
    <t>8290 (Grainger pn 1WG92)</t>
  </si>
  <si>
    <t>1", In-line 2-Way, Pilot operated valve, spring close, bronze body,_x000D_
200psi line pressure max._x000D_
Nom pilot pressure 100psi, 145psi max pilot pressure.</t>
  </si>
  <si>
    <t>EMR-436</t>
  </si>
  <si>
    <t xml:space="preserve"> Solenoid not getting signal to operate.  In order to move forward testing controls were swapped with z3 to z2 aux.  must operate aux valve now on screen to function z3 to z2 liquid pneumatic valve assembly.</t>
  </si>
  <si>
    <t>161-18</t>
  </si>
  <si>
    <t>Equipment Beyond Useful Life</t>
  </si>
  <si>
    <t>Installed new Filter/Regulator/Desiccant Filter. Complete 11/17/18</t>
  </si>
  <si>
    <t>Check on status.</t>
  </si>
  <si>
    <t>Erdomiller repaired software issue.</t>
  </si>
  <si>
    <t>EMR_ID,DESCRIPTION_OF_PROBLEM,STATUS,PRIORITY,REPORTED_BY,ENTERED_BY,DATE_REPORTED,DATE_CLOSED,EMR_DURATION,LOCATION,HCTC_BAY,EQUIPMENT_ID,EQUIPMENT_CLASSIFICATION,MAKE,MODEL_NUMBER,SERIAL_NUMBER,HOUR_METER,COUNTER,ASSIGNMENT,CORRECTIVE_ACTION,MALFUNCTION_FAILURE_MODE,PRIMARY_CAUSE,ACTION_TAKEN,TEST_IMPACT,TEST_PLAN,CONTRAINTS</t>
  </si>
  <si>
    <t>SELECT * FROM emr_data_7 ORDER BY id desc LIMIT 1</t>
  </si>
  <si>
    <t>EMR-437</t>
  </si>
  <si>
    <t>Retaining clip for valve actuator assembly is coming out.</t>
  </si>
  <si>
    <t>Tim Sigur</t>
  </si>
  <si>
    <t>CAutomation has agreed to replace the failing valves with models of the correct rating.</t>
  </si>
  <si>
    <t>C-Automation has agreed to replace the failing valves with models of the correct rating</t>
  </si>
  <si>
    <t>Removed and Replaced</t>
  </si>
  <si>
    <t>Replaced leaking Filter/Regulator With a new one. Completed 10/17/18.</t>
  </si>
  <si>
    <t>CELL22 experienced a significant water leak  several weeks ago that flooded the electrical enclosure containing the connectors and wiring for the DAQ/CTRL system. This may have resulted in corrosion on the connectors which is interfering with the signal. This condition was observed on a previous EMRs. Inspect and replace as needed. _x000D_
16Nov; Replacement connector blocks have been ordered.</t>
  </si>
  <si>
    <t>Cleaned the area where the retaining clip goes, used a sea clamp to compress cap far enough to install retaining clip.</t>
  </si>
  <si>
    <t>EMR-438</t>
  </si>
  <si>
    <t>O2 sensor display is not working. Showing signs of bad connection. Possibly board damage as in previous before moving off of handrails to eliminate shock from entry gate closure.</t>
  </si>
  <si>
    <t>Failed O2 Sensor Display</t>
  </si>
  <si>
    <t>EMR-439</t>
  </si>
  <si>
    <t>Loss of communications with ER5000 after PC re-image. ER Tune software has been loaded but will not connect.</t>
  </si>
  <si>
    <t>No communication (PC to ER 5000)</t>
  </si>
  <si>
    <t>Software not installed</t>
  </si>
  <si>
    <t>EMR-440</t>
  </si>
  <si>
    <t>Mobile camera is not working and needs repair or replace.</t>
  </si>
  <si>
    <t>Contact camera vendor. Action assigned to Ben Hogan.</t>
  </si>
  <si>
    <t>EMR-441</t>
  </si>
  <si>
    <t>Pressure control is lost. Full system pressure is bypassing regulator and can not be adjusted.</t>
  </si>
  <si>
    <t>Pressure Regulator (Function A)</t>
  </si>
  <si>
    <t>40-3120</t>
  </si>
  <si>
    <t>Unable to regulate pressure</t>
  </si>
  <si>
    <t>HCTC Maintenance notified. Contact vendor for rebuild kits and spares.</t>
  </si>
  <si>
    <t>EMR-442</t>
  </si>
  <si>
    <t xml:space="preserve"> Faulty wire connection shuts down power intermittently with movement of front panel.  Also while cooling you have to shut off heaters to move temp.  I believe the heaters are staying on during cool down.</t>
  </si>
  <si>
    <t>TCU Heaters remain on during cooling</t>
  </si>
  <si>
    <t>Verify wiring connections. Check for failed heater SSRs. Replacement SSRs and heater elements are in the CSP inventory.
Check the following: 
-SSR1 or SSR2 fail close (keeps htrs on)
-</t>
  </si>
  <si>
    <t>240-18</t>
  </si>
  <si>
    <t>1-1/2 inch regulator, KR140 hydraulic pilot operated, 1 inch MP inlet ports, 1-1/2 inch outlet ports. 7500 psi inlet, 5000 psi outlet.</t>
  </si>
  <si>
    <t>TCU High Temperature Lead Wire</t>
  </si>
  <si>
    <t>LDWR-1013</t>
  </si>
  <si>
    <t>600VAC, 14 AWG, cable type MG, insulation Fiberglass Mica, max temp 842 deg F</t>
  </si>
  <si>
    <t>Ordered new pump and replaced.</t>
  </si>
  <si>
    <t>ER 5000 tuning software may need re-installation following re-imaging. IT support may be required. Questions: Where is the software? Is C-Automation support required? Does this apply to Pits 1 thru 5?_x000D_
Software has been located and installed.</t>
  </si>
  <si>
    <t>EMR-443</t>
  </si>
  <si>
    <t xml:space="preserve"> Gas pump is running slow and not performing as expected.</t>
  </si>
  <si>
    <t>098-18</t>
  </si>
  <si>
    <t>DAQ System controller (cRIO)</t>
  </si>
  <si>
    <t>cRIO-9035 PN157732C-11L</t>
  </si>
  <si>
    <t>1D97623</t>
  </si>
  <si>
    <t xml:space="preserve">cRIO -9035 controller, 1.33gHZ, 8 slot, RS485, </t>
  </si>
  <si>
    <t>WJ58813-2634786</t>
  </si>
  <si>
    <t>TEMPCO Htr Formed Tubular 240V 2kW</t>
  </si>
  <si>
    <t>17 December 2018 Parts from Newerk arrived on the 7 and 10 of December. Rigo</t>
  </si>
  <si>
    <t>Replaced with a used but recently calibrated unit.</t>
  </si>
  <si>
    <t>Took thr pump from Cell 23 and took the pump from Cell 19 to rebuild</t>
  </si>
  <si>
    <t>Pressure Regulator (Z3-LQD-30KSI)</t>
  </si>
  <si>
    <t>50-2261D44A15004</t>
  </si>
  <si>
    <t>Pressure Regulator, Max Inlet 30000 PSI, Max Out 30000 PSI. This regulator is Venting.</t>
  </si>
  <si>
    <t>Pressure Transducer (ATM_ECO_15KSI)</t>
  </si>
  <si>
    <t>PMC Engineering LLC</t>
  </si>
  <si>
    <t>ATM.ECO</t>
  </si>
  <si>
    <t>15 KSI, 4-20mA output, -40 to 300 deg F operating temperature</t>
  </si>
  <si>
    <t>WJ59583-2638979</t>
  </si>
  <si>
    <t>TEMPCO Htr Formed Tubular 240V 4kW</t>
  </si>
  <si>
    <t>Temperature Transmitter (TS100)</t>
  </si>
  <si>
    <t>TS_100</t>
  </si>
  <si>
    <t xml:space="preserve">Temperature measuring range:_x000D_
-65 to 300°F_x000D_
 Accuracy: ± 2°F typical, 32 to 160°F_x000D_
</t>
  </si>
  <si>
    <t>EMR-444</t>
  </si>
  <si>
    <t>Pump blowing out the muffler.</t>
  </si>
  <si>
    <t>Richard White</t>
  </si>
  <si>
    <t>H-3 relocated to J99 for maintenance.</t>
  </si>
  <si>
    <t>242-18</t>
  </si>
  <si>
    <t>EMR-445</t>
  </si>
  <si>
    <t xml:space="preserve">AIO 3 has an intermittent failure making it unusable for testing.
Other channels can be used but this should be investigated at the next opportunity.  No impact on test now in cell 6.
</t>
  </si>
  <si>
    <t>Enter Action(s) taken or plan of action. Wait for break in ongoing test and investigate wiring/connections on 9237 AI module.</t>
  </si>
  <si>
    <t>EMR-446</t>
  </si>
  <si>
    <t xml:space="preserve">The RS485 interface in the cRIO has stopped working.
This is a part of the motherboard in the cRIO and requires that the cRIO be replaced. A new cRIO will need to be purchased and set up from scratch.
A replacement has been purchased and received.
</t>
  </si>
  <si>
    <t xml:space="preserve"> The defective unit must be R&amp;R. Erdos Miller assistance will be required to reload the FPGA bitmap. The remaining work, reloading the cRIO executable and GUI, can be done in-house.</t>
  </si>
  <si>
    <t>Dynex Pump H-6 EMR Status</t>
  </si>
  <si>
    <t>Action Log for Dynex Pump H-6</t>
  </si>
  <si>
    <t xml:space="preserve">Check relief valve setting and operation. Order spare filters and relief valves for this pump. </t>
  </si>
  <si>
    <t>HCTC Maintenance notified. Pump may need to be sent out for service. Contact C-Automation or a Dynex pump representative on the steps to send out for diagnostics and repair. Also request quote for repair kits if it is feasiblle to conduct repairs in-house. We will also need detailed drawings and manuals for this pump.</t>
  </si>
  <si>
    <t xml:space="preserve">(Goodwater 2018-8-01 7:47 AM):_x000D_
Pressure relief leaking externally.  It looks to be a premade unit and may need to be replaced._x000D_
Autoclave Engineers_x000D_
201b-2723   316ss_x000D_
083012sm ht744155_x000D_
Set at 16,500 psi_x000D_
There is a tag also with number 20rvp9072 on it._x000D_
</t>
  </si>
  <si>
    <t xml:space="preserve">(Goodwater 2018-8-01 7:47 AM):_x000D_
Pressure relief leaking externally.  It looks to be a premade unit and may need to be replaced._x000D_
HCTC Maintenance removed and replaced the Dynex pump head with a spare pump head (purchased at TDC several years ago). Unit test was ok and it it operational. The root cause will be updated following disassembly and maintenance of the defective pump head. _x000D_
Also, rebuild kits for the 20KSI relief valve and spare hydraulic filters have been requisitioned. The relief valve will be rebuilt and the filters changed out at the completion of TP056-18.  _x000D_
EMR-378 is Closed._x000D_
</t>
  </si>
  <si>
    <t xml:space="preserve">Disassembling and rebuilding the relief valve using the R20RVP rebuild kit. </t>
  </si>
  <si>
    <t>The relief valve is in good condition, therefore no need to replace components. The reservoir was drained and flush (significant debris found in the system) , strainer cleaned, supply filters replaced and regulator check. Pump is still not functioning properly. Maintenance to disassemble the defective pump to narrow down root cause. A quote has been received for a new Dynex pump ($12,000). Quoting rebuild kits for inhouse repair as well a quote for outsourced Dynex pump service.</t>
  </si>
  <si>
    <t xml:space="preserve">(HCTC Maintenance-Rigo): Pat and I got the newer pump making steady pressure. We used a part from the old red pump to make it work and thoroughly cleaned the black pump internally. We only took too about 6000 psi. _x000D_
We are taking the pump back to the cell for a higher pressure test. Rigo._x000D_
</t>
  </si>
  <si>
    <t>HCTC Maintenance replaced defective filter o-ring.</t>
  </si>
  <si>
    <t>HCTC Maintenance notified.</t>
  </si>
  <si>
    <t xml:space="preserve">Troubleshooting various causes. Rebuild kits for the pressure regulator (Tescom 54-2160T66) have been ordered.  </t>
  </si>
  <si>
    <t>Troubleshooting various causes. Rebuild kits for the pressure regulator (Tescom 54-2160T66) have been ordered.  _x000D_
9-6-2018 Installed orginal Red painted Dynex pump model PF43834-XVA-11 , s/n 173218 , Pat and I disassembled the pump and cleaned it and found one of the check balls stuck in part number A1048.160 ( plunger ). _x000D_
New parts on order, see P.O. 4512030102 dated 23 Aug 2018 with and update on 9 Sept. 2018 to include the addtional parts to rebuild the pump. _x000D_
The Black painted Dynex pump with the model numberPF4383H-XVA-11, s/n 166601 was removed and it is considered to be new but has been on the shelf since 2013. I have sent an e-mail to Richard Flores of Sunsource and we are researching the root cause of why the Black painted Dynex pump is overheating in 1 1/2 hours of use. Rigo</t>
  </si>
  <si>
    <t>Troubleshooting various causes. Rebuild kits for the pressure regulator (Tescom 54-2160T66) have been ordered.  _x000D_
9-6-2018 Installed orginal Red painted Dynex pump model PF43834-XVA-11 , s/n 173218 , Pat and I disassembled the pump and cleaned it and found one of the check balls stuck in part number A1048.160 ( plunger ). _x000D_
New parts on order, see P.O. 4512030102 dated 23 Aug 2018 with and update on 9 Sept. 2018 to include the addtional parts to rebuild the pump. _x000D_
The Black painted Dynex pump with the model numberPF4383H-XVA-11, s/n 166601 was removed and it is considered to be new but has been on the shelf since 2013. I have sent an e-mail to Richard Flores of Sunsource and we are researching the root cause of why the Black painted Dynex pump is overheating in 1 1/2 hours of use. Rigo_x000D_
_x000D_
9/14/2018 The parts arrived and are in the J99-Critical Parts Inventory. Will be rebuilding the Black Dynex Pump with the new parts. Rigo</t>
  </si>
  <si>
    <t>28 Sept 2018 Dynex bearing item number 11 on the drawing recieved .</t>
  </si>
  <si>
    <t>HCTC notified.</t>
  </si>
  <si>
    <t xml:space="preserve"> Dynex pump will drop off pressure after it has been running for a while.  The test has been delayed . Need to see about getting this issue fixed ASAP while we are delayed on the test.</t>
  </si>
  <si>
    <t xml:space="preserve">Troubleshooting. Conduct a diagnostic run on the pump while monitoring the pump outlet pressure and the pump body and fluid temperatures. Try to repeat the anomaly while recording these parameters. </t>
  </si>
  <si>
    <t>EMR-447</t>
  </si>
  <si>
    <t xml:space="preserve">N2 gas supply at only 1800psi. Normal supply is 3000psi+
Neither gas compressor is running and indoor panel indicating a red alarm.
Gas testing is significantly slowed by low supply pressure.
</t>
  </si>
  <si>
    <t>Nitrogen System (Medium Bay)</t>
  </si>
  <si>
    <t>Tonatco</t>
  </si>
  <si>
    <t>Under/Over Pressure</t>
  </si>
  <si>
    <t>Contractor (Tonatco) notified.</t>
  </si>
  <si>
    <t xml:space="preserve">4/5/19 Removed and replaced pump. </t>
  </si>
  <si>
    <t>7/13/18 Did a temporary install so the pit could be pumped out. Will scheduel to finish instalation when the rest of the parts cone in and the pit is avalibile._x000D_
_x000D_
1/10/19 We set a time of 3:30 pm to finish this job. The testing carried past the time schedueled  and we were not able to do the job on this day. Will try to rescheduel.</t>
  </si>
  <si>
    <t>Replaced pump with a rebuilt pump.</t>
  </si>
  <si>
    <t>Enter Action(s) taken or plan of action. Wait for break in ongoing test and investigate wiring/connections on 9237 AI module.
24Jan; Test still in progress.</t>
  </si>
  <si>
    <t xml:space="preserve"> The defective unit must be R&amp;R. Erdos Miller assistance will be required to reload the FPGA bitmap. The remaining work, reloading the cRIO executable and GUI, can be done in-house.
24Jan; Cell shutdown for maintenance. Est 1 wk to replace the cRIO.</t>
  </si>
  <si>
    <t>EMR-448</t>
  </si>
  <si>
    <t>One accumulator has a bad bladder.  While venting pre charge off for transport to be barrowed by Building B, control fluid began pushing from the top pre charge port.  I marked the bottle.  This setup cannot separate each bottle individually so on bad bottle takes out half the rack.</t>
  </si>
  <si>
    <t>Failed accumulator bladder</t>
  </si>
  <si>
    <t>HCTC Maintenance notified. Replacement bladders to be ordered.</t>
  </si>
  <si>
    <t>EMR-449</t>
  </si>
  <si>
    <t xml:space="preserve">Please reconfigure the network port in cell 19 to be able to communicate the data via cloud. Please contact Robert Frenzel/ Harjeet Singh for more details. </t>
  </si>
  <si>
    <t>Archana Patel</t>
  </si>
  <si>
    <t>Network Port</t>
  </si>
  <si>
    <t>IT support required. 
Request withdrawn by test PI.</t>
  </si>
  <si>
    <t>RCK09900</t>
  </si>
  <si>
    <t>RCK09900 repair/rebuild kit</t>
  </si>
  <si>
    <t>Network Port.</t>
  </si>
  <si>
    <t>60VM7-01S &amp; 60VM7-C1S</t>
  </si>
  <si>
    <t>Packing Set ( two nylon and one leather )   small plastic bag in small cardboard box</t>
  </si>
  <si>
    <t xml:space="preserve">8262H232LT </t>
  </si>
  <si>
    <t>1/4" Cryogenic Solenoid Valve, 1/8" Orifice Dia., 120VAC</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</si>
</sst>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4" formatCode="_(&quot;$&quot;* #,##0.00_);_(&quot;$&quot;* \(#,##0.00\);_(&quot;$&quot;* &quot;-&quot;??_);_(@_)"/>
    <numFmt numFmtId="164" formatCode="[$-409]mmmm\ d\,\ yyyy;@"/>
    <numFmt numFmtId="165" formatCode="[$-F800]dddd\,\ mmmm\ dd\,\ yyyy"/>
    <numFmt numFmtId="166" formatCode="m/d/yyyy;@"/>
  </numFmts>
  <fonts count="21" x14ac:knownFonts="1">
    <font>
      <sz val="11"/>
      <color theme="1"/>
      <name val="Calibri"/>
      <family val="2"/>
      <scheme val="minor"/>
    </font>
    <font>
      <b/>
      <sz val="14"/>
      <color rgb="FFFFFF00"/>
      <name val="Calibri"/>
      <family val="2"/>
      <scheme val="minor"/>
    </font>
    <font>
      <sz val="14"/>
      <color theme="1"/>
      <name val="Calibri"/>
      <family val="2"/>
      <scheme val="minor"/>
    </font>
    <font>
      <b/>
      <sz val="12"/>
      <color theme="1"/>
      <name val="Calibri"/>
      <family val="2"/>
      <scheme val="minor"/>
    </font>
    <font>
      <sz val="10"/>
      <color theme="1"/>
      <name val="Times New Roman"/>
      <family val="1"/>
    </font>
    <font>
      <sz val="10"/>
      <color theme="1"/>
      <name val="Calibri"/>
      <family val="2"/>
      <scheme val="minor"/>
    </font>
    <font>
      <sz val="8"/>
      <color theme="1"/>
      <name val="Calibri"/>
      <family val="2"/>
      <scheme val="minor"/>
    </font>
    <font>
      <sz val="12"/>
      <color theme="1"/>
      <name val="Calibri"/>
      <family val="2"/>
      <scheme val="minor"/>
    </font>
    <font>
      <sz val="11"/>
      <color theme="1"/>
      <name val="Calibri"/>
      <family val="2"/>
      <scheme val="minor"/>
    </font>
    <font>
      <b/>
      <sz val="14"/>
      <color theme="1"/>
      <name val="Calibri"/>
      <family val="2"/>
      <scheme val="minor"/>
    </font>
    <font>
      <b/>
      <sz val="18"/>
      <color theme="1"/>
      <name val="Calibri"/>
      <family val="2"/>
      <scheme val="minor"/>
    </font>
    <font>
      <b/>
      <sz val="10"/>
      <color theme="1"/>
      <name val="Calibri"/>
      <family val="2"/>
      <scheme val="minor"/>
    </font>
    <font>
      <b/>
      <sz val="11"/>
      <color theme="1"/>
      <name val="Calibri"/>
      <family val="2"/>
      <scheme val="minor"/>
    </font>
    <font>
      <b/>
      <sz val="16"/>
      <color theme="0"/>
      <name val="Calibri"/>
      <family val="2"/>
      <scheme val="minor"/>
    </font>
    <font>
      <b/>
      <sz val="18"/>
      <color rgb="FFFF0000"/>
      <name val="Cambria"/>
      <family val="1"/>
    </font>
    <font>
      <b/>
      <sz val="36"/>
      <color theme="0"/>
      <name val="Calibri"/>
      <family val="2"/>
      <scheme val="minor"/>
    </font>
    <font>
      <b/>
      <sz val="20"/>
      <color theme="1"/>
      <name val="Calibri"/>
      <family val="2"/>
      <scheme val="minor"/>
    </font>
    <font>
      <b/>
      <sz val="14"/>
      <color theme="0"/>
      <name val="Calibri"/>
      <family val="2"/>
      <scheme val="minor"/>
    </font>
    <font>
      <b/>
      <sz val="14"/>
      <name val="Calibri"/>
      <family val="2"/>
      <scheme val="minor"/>
    </font>
    <font>
      <b/>
      <i/>
      <sz val="12"/>
      <name val="Calibri"/>
      <family val="2"/>
      <scheme val="minor"/>
    </font>
    <font>
      <sz val="11"/>
      <color rgb="FF000000"/>
      <name val="Calibri"/>
      <family val="2"/>
    </font>
  </fonts>
  <fills count="14">
    <fill>
      <patternFill patternType="none"/>
    </fill>
    <fill>
      <patternFill patternType="gray125"/>
    </fill>
    <fill>
      <patternFill patternType="solid">
        <fgColor rgb="FF002060"/>
        <bgColor indexed="64"/>
      </patternFill>
    </fill>
    <fill>
      <patternFill patternType="solid">
        <fgColor theme="1"/>
        <bgColor indexed="64"/>
      </patternFill>
    </fill>
    <fill>
      <patternFill patternType="solid">
        <fgColor theme="3" tint="0.59999389629810485"/>
        <bgColor indexed="64"/>
      </patternFill>
    </fill>
    <fill>
      <patternFill patternType="solid">
        <fgColor theme="0"/>
        <bgColor indexed="64"/>
      </patternFill>
    </fill>
    <fill>
      <patternFill patternType="solid">
        <fgColor theme="0" tint="-0.14999847407452621"/>
        <bgColor indexed="64"/>
      </patternFill>
    </fill>
    <fill>
      <patternFill patternType="solid">
        <fgColor rgb="FFFF0000"/>
        <bgColor indexed="64"/>
      </patternFill>
    </fill>
    <fill>
      <patternFill patternType="solid">
        <fgColor rgb="FFFFFF00"/>
        <bgColor indexed="64"/>
      </patternFill>
    </fill>
    <fill>
      <patternFill patternType="solid">
        <fgColor theme="6" tint="0.79998168889431442"/>
        <bgColor indexed="64"/>
      </patternFill>
    </fill>
    <fill>
      <patternFill patternType="solid">
        <fgColor rgb="FF00B0F0"/>
        <bgColor indexed="64"/>
      </patternFill>
    </fill>
    <fill>
      <patternFill patternType="solid">
        <fgColor indexed="9"/>
        <bgColor indexed="64"/>
      </patternFill>
    </fill>
    <fill>
      <patternFill patternType="solid">
        <fgColor rgb="FF0070C0"/>
        <bgColor indexed="64"/>
      </patternFill>
    </fill>
    <fill>
      <patternFill patternType="solid">
        <fgColor indexed="10"/>
        <bgColor indexed="64"/>
      </patternFill>
    </fill>
  </fills>
  <borders count="36">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ck">
        <color indexed="64"/>
      </bottom>
      <diagonal/>
    </border>
    <border>
      <left style="thick">
        <color auto="1"/>
      </left>
      <right style="thin">
        <color auto="1"/>
      </right>
      <top style="thick">
        <color auto="1"/>
      </top>
      <bottom/>
      <diagonal/>
    </border>
    <border>
      <left style="thin">
        <color auto="1"/>
      </left>
      <right style="thin">
        <color auto="1"/>
      </right>
      <top style="thick">
        <color auto="1"/>
      </top>
      <bottom/>
      <diagonal/>
    </border>
    <border>
      <left/>
      <right/>
      <top style="thick">
        <color auto="1"/>
      </top>
      <bottom/>
      <diagonal/>
    </border>
    <border>
      <left/>
      <right style="thick">
        <color auto="1"/>
      </right>
      <top style="thick">
        <color auto="1"/>
      </top>
      <bottom/>
      <diagonal/>
    </border>
    <border>
      <left style="thick">
        <color auto="1"/>
      </left>
      <right style="thin">
        <color auto="1"/>
      </right>
      <top/>
      <bottom style="medium">
        <color auto="1"/>
      </bottom>
      <diagonal/>
    </border>
    <border>
      <left style="thin">
        <color auto="1"/>
      </left>
      <right style="thin">
        <color auto="1"/>
      </right>
      <top/>
      <bottom style="medium">
        <color auto="1"/>
      </bottom>
      <diagonal/>
    </border>
    <border>
      <left/>
      <right/>
      <top/>
      <bottom style="medium">
        <color auto="1"/>
      </bottom>
      <diagonal/>
    </border>
    <border>
      <left/>
      <right style="thick">
        <color auto="1"/>
      </right>
      <top/>
      <bottom style="medium">
        <color auto="1"/>
      </bottom>
      <diagonal/>
    </border>
    <border>
      <left style="thick">
        <color auto="1"/>
      </left>
      <right style="thin">
        <color auto="1"/>
      </right>
      <top/>
      <bottom/>
      <diagonal/>
    </border>
    <border>
      <left style="thin">
        <color auto="1"/>
      </left>
      <right style="thin">
        <color auto="1"/>
      </right>
      <top/>
      <bottom/>
      <diagonal/>
    </border>
    <border>
      <left/>
      <right style="thick">
        <color auto="1"/>
      </right>
      <top/>
      <bottom/>
      <diagonal/>
    </border>
    <border>
      <left style="thick">
        <color auto="1"/>
      </left>
      <right style="thin">
        <color auto="1"/>
      </right>
      <top/>
      <bottom style="thick">
        <color auto="1"/>
      </bottom>
      <diagonal/>
    </border>
    <border>
      <left style="thin">
        <color auto="1"/>
      </left>
      <right style="thin">
        <color auto="1"/>
      </right>
      <top/>
      <bottom style="thick">
        <color auto="1"/>
      </bottom>
      <diagonal/>
    </border>
    <border>
      <left style="thin">
        <color auto="1"/>
      </left>
      <right/>
      <top/>
      <bottom style="thick">
        <color auto="1"/>
      </bottom>
      <diagonal/>
    </border>
    <border>
      <left/>
      <right style="thick">
        <color auto="1"/>
      </right>
      <top/>
      <bottom style="thick">
        <color auto="1"/>
      </bottom>
      <diagonal/>
    </border>
    <border>
      <left style="thick">
        <color auto="1"/>
      </left>
      <right/>
      <top style="thick">
        <color auto="1"/>
      </top>
      <bottom style="medium">
        <color auto="1"/>
      </bottom>
      <diagonal/>
    </border>
    <border>
      <left/>
      <right/>
      <top style="thick">
        <color auto="1"/>
      </top>
      <bottom style="medium">
        <color auto="1"/>
      </bottom>
      <diagonal/>
    </border>
    <border>
      <left/>
      <right style="thick">
        <color auto="1"/>
      </right>
      <top style="thick">
        <color auto="1"/>
      </top>
      <bottom style="medium">
        <color auto="1"/>
      </bottom>
      <diagonal/>
    </border>
    <border>
      <left style="thick">
        <color auto="1"/>
      </left>
      <right/>
      <top style="medium">
        <color auto="1"/>
      </top>
      <bottom style="thick">
        <color auto="1"/>
      </bottom>
      <diagonal/>
    </border>
    <border>
      <left/>
      <right/>
      <top style="medium">
        <color auto="1"/>
      </top>
      <bottom style="thick">
        <color auto="1"/>
      </bottom>
      <diagonal/>
    </border>
    <border>
      <left/>
      <right style="thick">
        <color auto="1"/>
      </right>
      <top style="medium">
        <color auto="1"/>
      </top>
      <bottom style="thick">
        <color auto="1"/>
      </bottom>
      <diagonal/>
    </border>
    <border>
      <left style="thick">
        <color auto="1"/>
      </left>
      <right style="thin">
        <color theme="1"/>
      </right>
      <top style="thick">
        <color auto="1"/>
      </top>
      <bottom style="medium">
        <color auto="1"/>
      </bottom>
      <diagonal/>
    </border>
    <border>
      <left/>
      <right style="thin">
        <color theme="1"/>
      </right>
      <top style="thick">
        <color auto="1"/>
      </top>
      <bottom style="medium">
        <color auto="1"/>
      </bottom>
      <diagonal/>
    </border>
    <border>
      <left style="thin">
        <color theme="1"/>
      </left>
      <right style="thin">
        <color theme="1"/>
      </right>
      <top style="medium">
        <color auto="1"/>
      </top>
      <bottom style="thick">
        <color auto="1"/>
      </bottom>
      <diagonal/>
    </border>
    <border>
      <left style="thin">
        <color theme="1"/>
      </left>
      <right/>
      <top style="medium">
        <color auto="1"/>
      </top>
      <bottom style="thick">
        <color auto="1"/>
      </bottom>
      <diagonal/>
    </border>
    <border>
      <left style="thick">
        <color auto="1"/>
      </left>
      <right/>
      <top style="thick">
        <color auto="1"/>
      </top>
      <bottom/>
      <diagonal/>
    </border>
    <border>
      <left style="thick">
        <color auto="1"/>
      </left>
      <right/>
      <top/>
      <bottom style="thick">
        <color auto="1"/>
      </bottom>
      <diagonal/>
    </border>
    <border>
      <left style="thick">
        <color rgb="FFFF0000"/>
      </left>
      <right/>
      <top/>
      <bottom/>
      <diagonal/>
    </border>
    <border>
      <left/>
      <right/>
      <top/>
      <bottom style="thick">
        <color auto="1"/>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s>
  <cellStyleXfs count="3">
    <xf numFmtId="0" fontId="0" fillId="0" borderId="0"/>
    <xf numFmtId="44" fontId="8" fillId="0" borderId="0" applyFont="0" applyFill="0" applyBorder="0" applyAlignment="0" applyProtection="0"/>
    <xf numFmtId="0" fontId="20" fillId="0" borderId="0"/>
  </cellStyleXfs>
  <cellXfs count="186">
    <xf numFmtId="0" fontId="0" fillId="0" borderId="0" xfId="0"/>
    <xf numFmtId="0" fontId="0" fillId="0" borderId="1" xfId="0" applyBorder="1" applyAlignment="1">
      <alignment horizontal="center" vertical="center"/>
    </xf>
    <xf numFmtId="0" fontId="2" fillId="0" borderId="1" xfId="0" applyFont="1" applyBorder="1" applyAlignment="1">
      <alignment horizontal="center" vertical="center" wrapText="1"/>
    </xf>
    <xf numFmtId="0" fontId="0" fillId="0" borderId="1" xfId="0" applyBorder="1"/>
    <xf numFmtId="0" fontId="1" fillId="2" borderId="3" xfId="0" applyFont="1" applyFill="1" applyBorder="1" applyAlignment="1">
      <alignment horizontal="center" vertical="center" wrapText="1"/>
    </xf>
    <xf numFmtId="0" fontId="0" fillId="0" borderId="1" xfId="0" applyBorder="1" applyAlignment="1">
      <alignment horizontal="left" vertical="top" wrapText="1"/>
    </xf>
    <xf numFmtId="0" fontId="4" fillId="0" borderId="0" xfId="0" applyFont="1"/>
    <xf numFmtId="0" fontId="0" fillId="0" borderId="1" xfId="0" applyBorder="1" applyAlignment="1">
      <alignment horizontal="center" vertical="center" wrapText="1"/>
    </xf>
    <xf numFmtId="0" fontId="5" fillId="0" borderId="1" xfId="0" applyFont="1" applyBorder="1" applyAlignment="1">
      <alignment wrapText="1"/>
    </xf>
    <xf numFmtId="0" fontId="7" fillId="0" borderId="1" xfId="0" applyFont="1" applyBorder="1" applyAlignment="1">
      <alignment horizontal="center" vertical="center"/>
    </xf>
    <xf numFmtId="0" fontId="0" fillId="0" borderId="0" xfId="0" applyAlignment="1">
      <alignment horizontal="center" vertical="center"/>
    </xf>
    <xf numFmtId="0" fontId="3" fillId="4" borderId="4" xfId="0" applyFont="1" applyFill="1" applyBorder="1" applyAlignment="1" applyProtection="1">
      <alignment horizontal="center" vertical="center"/>
      <protection locked="0"/>
    </xf>
    <xf numFmtId="0" fontId="3" fillId="4" borderId="5" xfId="0" applyFont="1" applyFill="1" applyBorder="1" applyAlignment="1" applyProtection="1">
      <alignment horizontal="center" vertical="center"/>
      <protection locked="0"/>
    </xf>
    <xf numFmtId="0" fontId="12" fillId="4" borderId="12" xfId="0" applyFont="1" applyFill="1" applyBorder="1" applyAlignment="1" applyProtection="1">
      <alignment horizontal="center" vertical="center"/>
    </xf>
    <xf numFmtId="0" fontId="3" fillId="4" borderId="13" xfId="0" applyFont="1" applyFill="1" applyBorder="1" applyAlignment="1" applyProtection="1">
      <alignment horizontal="center" vertical="center"/>
    </xf>
    <xf numFmtId="0" fontId="0" fillId="0" borderId="0" xfId="0" applyBorder="1" applyAlignment="1">
      <alignment horizontal="left" vertical="top"/>
    </xf>
    <xf numFmtId="0" fontId="14" fillId="0" borderId="0" xfId="0" applyFont="1"/>
    <xf numFmtId="0" fontId="3" fillId="4" borderId="25" xfId="0" applyFont="1" applyFill="1" applyBorder="1" applyAlignment="1" applyProtection="1">
      <alignment horizontal="center" vertical="center"/>
      <protection locked="0"/>
    </xf>
    <xf numFmtId="0" fontId="3" fillId="4" borderId="26" xfId="0" applyFont="1" applyFill="1" applyBorder="1" applyAlignment="1" applyProtection="1">
      <alignment horizontal="center" vertical="center"/>
      <protection locked="0"/>
    </xf>
    <xf numFmtId="0" fontId="11" fillId="6" borderId="0" xfId="0" applyFont="1" applyFill="1" applyAlignment="1" applyProtection="1">
      <alignment horizontal="center" vertical="center" wrapText="1"/>
      <protection locked="0"/>
    </xf>
    <xf numFmtId="0" fontId="0" fillId="0" borderId="0" xfId="0" applyAlignment="1">
      <alignment wrapText="1"/>
    </xf>
    <xf numFmtId="0" fontId="0" fillId="0" borderId="1" xfId="0" applyBorder="1" applyAlignment="1">
      <alignment horizontal="center" vertical="top" wrapText="1"/>
    </xf>
    <xf numFmtId="0" fontId="0" fillId="0" borderId="0" xfId="0" applyBorder="1"/>
    <xf numFmtId="164" fontId="12" fillId="8" borderId="8" xfId="0" applyNumberFormat="1" applyFont="1" applyFill="1" applyBorder="1" applyAlignment="1" applyProtection="1">
      <alignment horizontal="center" vertical="center"/>
      <protection locked="0"/>
    </xf>
    <xf numFmtId="0" fontId="12" fillId="8" borderId="9" xfId="0" applyFont="1" applyFill="1" applyBorder="1" applyAlignment="1" applyProtection="1">
      <alignment horizontal="center" vertical="center"/>
      <protection locked="0"/>
    </xf>
    <xf numFmtId="0" fontId="12" fillId="8" borderId="15" xfId="0" applyFont="1" applyFill="1" applyBorder="1" applyAlignment="1" applyProtection="1">
      <alignment horizontal="center" vertical="center"/>
      <protection locked="0"/>
    </xf>
    <xf numFmtId="0" fontId="12" fillId="8" borderId="16" xfId="0" applyFont="1" applyFill="1" applyBorder="1" applyAlignment="1" applyProtection="1">
      <alignment horizontal="center" vertical="center"/>
      <protection locked="0"/>
    </xf>
    <xf numFmtId="0" fontId="11" fillId="8" borderId="22" xfId="0" applyFont="1" applyFill="1" applyBorder="1" applyAlignment="1" applyProtection="1">
      <alignment horizontal="center" vertical="center" wrapText="1"/>
      <protection locked="0"/>
    </xf>
    <xf numFmtId="0" fontId="11" fillId="8" borderId="27" xfId="0" applyFont="1" applyFill="1" applyBorder="1" applyAlignment="1" applyProtection="1">
      <alignment horizontal="center" vertical="center" wrapText="1"/>
      <protection locked="0"/>
    </xf>
    <xf numFmtId="0" fontId="0" fillId="9" borderId="0" xfId="0" applyFill="1"/>
    <xf numFmtId="0" fontId="0" fillId="10" borderId="0" xfId="0" applyFill="1"/>
    <xf numFmtId="0" fontId="5" fillId="11" borderId="1" xfId="0" applyFont="1" applyFill="1" applyBorder="1" applyAlignment="1">
      <alignment horizontal="center" vertical="center"/>
    </xf>
    <xf numFmtId="14" fontId="5" fillId="11" borderId="1" xfId="0" applyNumberFormat="1" applyFont="1" applyFill="1" applyBorder="1" applyAlignment="1">
      <alignment horizontal="center" vertical="center"/>
    </xf>
    <xf numFmtId="0" fontId="5" fillId="11" borderId="1" xfId="0" applyFont="1" applyFill="1" applyBorder="1" applyAlignment="1">
      <alignment horizontal="left" vertical="top" wrapText="1"/>
    </xf>
    <xf numFmtId="0" fontId="0" fillId="11" borderId="0" xfId="0" applyFill="1"/>
    <xf numFmtId="14" fontId="0" fillId="11" borderId="0" xfId="0" applyNumberFormat="1" applyFill="1"/>
    <xf numFmtId="49" fontId="5" fillId="11" borderId="1" xfId="1" applyNumberFormat="1" applyFont="1" applyFill="1" applyBorder="1" applyAlignment="1">
      <alignment horizontal="left" vertical="top" wrapText="1"/>
    </xf>
    <xf numFmtId="49" fontId="5" fillId="11" borderId="1" xfId="1" applyNumberFormat="1" applyFont="1" applyFill="1" applyBorder="1" applyAlignment="1">
      <alignment horizontal="center" vertical="center"/>
    </xf>
    <xf numFmtId="49" fontId="0" fillId="11" borderId="0" xfId="0" applyNumberFormat="1" applyFill="1"/>
    <xf numFmtId="49" fontId="0" fillId="0" borderId="0" xfId="0" applyNumberFormat="1"/>
    <xf numFmtId="0" fontId="0" fillId="11" borderId="1" xfId="0" applyFont="1" applyFill="1" applyBorder="1" applyAlignment="1">
      <alignment horizontal="center" vertical="center" wrapText="1"/>
    </xf>
    <xf numFmtId="0" fontId="0" fillId="11" borderId="0" xfId="0" applyFont="1" applyFill="1" applyAlignment="1">
      <alignment horizontal="center" vertical="center"/>
    </xf>
    <xf numFmtId="0" fontId="0" fillId="0" borderId="0" xfId="0" applyFont="1" applyAlignment="1">
      <alignment horizontal="center" vertical="center"/>
    </xf>
    <xf numFmtId="0" fontId="7" fillId="11" borderId="1" xfId="0" applyFont="1" applyFill="1" applyBorder="1" applyAlignment="1">
      <alignment horizontal="center" vertical="center"/>
    </xf>
    <xf numFmtId="0" fontId="7" fillId="11" borderId="0" xfId="0" applyFont="1" applyFill="1"/>
    <xf numFmtId="0" fontId="7" fillId="0" borderId="0" xfId="0" applyFont="1"/>
    <xf numFmtId="14" fontId="7" fillId="11" borderId="1" xfId="0" applyNumberFormat="1" applyFont="1" applyFill="1" applyBorder="1" applyAlignment="1">
      <alignment horizontal="center" vertical="center"/>
    </xf>
    <xf numFmtId="14" fontId="0" fillId="11" borderId="1" xfId="0" applyNumberFormat="1" applyFill="1" applyBorder="1" applyAlignment="1">
      <alignment horizontal="center" vertical="center"/>
    </xf>
    <xf numFmtId="14" fontId="0" fillId="0" borderId="1" xfId="0" applyNumberFormat="1" applyBorder="1" applyAlignment="1">
      <alignment horizontal="center" vertical="center"/>
    </xf>
    <xf numFmtId="0" fontId="0" fillId="11" borderId="1" xfId="0" applyFill="1" applyBorder="1" applyAlignment="1">
      <alignment horizontal="center" vertical="center"/>
    </xf>
    <xf numFmtId="0" fontId="0" fillId="11" borderId="1" xfId="0" applyFill="1" applyBorder="1" applyAlignment="1">
      <alignment horizontal="left" vertical="top" wrapText="1"/>
    </xf>
    <xf numFmtId="1" fontId="0" fillId="11" borderId="1" xfId="0" applyNumberFormat="1" applyFill="1" applyBorder="1" applyAlignment="1">
      <alignment horizontal="center" vertical="center"/>
    </xf>
    <xf numFmtId="1" fontId="0" fillId="0" borderId="1" xfId="0" applyNumberFormat="1" applyBorder="1" applyAlignment="1">
      <alignment horizontal="center" vertical="center"/>
    </xf>
    <xf numFmtId="0" fontId="0" fillId="0" borderId="14" xfId="0" applyBorder="1"/>
    <xf numFmtId="0" fontId="0" fillId="0" borderId="14" xfId="0" applyFill="1" applyBorder="1"/>
    <xf numFmtId="0" fontId="0" fillId="0" borderId="31" xfId="0" applyBorder="1"/>
    <xf numFmtId="0" fontId="17" fillId="3" borderId="0" xfId="0" applyFont="1" applyFill="1" applyAlignment="1">
      <alignment horizontal="center" vertical="center"/>
    </xf>
    <xf numFmtId="0" fontId="0" fillId="0" borderId="0" xfId="0" applyFill="1" applyBorder="1"/>
    <xf numFmtId="0" fontId="0" fillId="0" borderId="0" xfId="0" applyFill="1"/>
    <xf numFmtId="0" fontId="17" fillId="12" borderId="0" xfId="0" applyFont="1" applyFill="1" applyAlignment="1">
      <alignment horizontal="center" vertical="center"/>
    </xf>
    <xf numFmtId="0" fontId="0" fillId="0" borderId="1" xfId="0" applyBorder="1" applyAlignment="1">
      <alignment wrapText="1"/>
    </xf>
    <xf numFmtId="0" fontId="6" fillId="0" borderId="0" xfId="0" applyFont="1" applyFill="1" applyBorder="1"/>
    <xf numFmtId="0" fontId="0" fillId="11" borderId="1" xfId="0" applyFill="1" applyBorder="1" applyAlignment="1">
      <alignment horizontal="center" vertical="center" wrapText="1"/>
    </xf>
    <xf numFmtId="0" fontId="4" fillId="0" borderId="0" xfId="0" applyFont="1" applyFill="1" applyBorder="1"/>
    <xf numFmtId="0" fontId="5" fillId="11" borderId="1" xfId="0" applyFont="1" applyFill="1" applyBorder="1" applyAlignment="1">
      <alignment horizontal="center" vertical="center" wrapText="1"/>
    </xf>
    <xf numFmtId="0" fontId="0" fillId="11" borderId="0" xfId="0" applyFill="1" applyAlignment="1">
      <alignment wrapText="1"/>
    </xf>
    <xf numFmtId="49" fontId="5" fillId="11" borderId="1" xfId="1" applyNumberFormat="1" applyFont="1" applyFill="1" applyBorder="1" applyAlignment="1">
      <alignment horizontal="center" vertical="center" wrapText="1"/>
    </xf>
    <xf numFmtId="0" fontId="1" fillId="2" borderId="3" xfId="0" applyFont="1" applyFill="1" applyBorder="1" applyAlignment="1">
      <alignment horizontal="left" vertical="top" wrapText="1"/>
    </xf>
    <xf numFmtId="14" fontId="0" fillId="11" borderId="1" xfId="0" applyNumberFormat="1" applyFill="1" applyBorder="1" applyAlignment="1">
      <alignment horizontal="left" vertical="top" wrapText="1"/>
    </xf>
    <xf numFmtId="0" fontId="17" fillId="2" borderId="1" xfId="0" applyFont="1" applyFill="1" applyBorder="1" applyAlignment="1">
      <alignment horizontal="center" vertical="center" wrapText="1"/>
    </xf>
    <xf numFmtId="0" fontId="2" fillId="0" borderId="1" xfId="0" applyFont="1" applyBorder="1"/>
    <xf numFmtId="14" fontId="0" fillId="11" borderId="1" xfId="0" applyNumberFormat="1" applyFill="1" applyBorder="1" applyAlignment="1">
      <alignment horizontal="center" vertical="center" wrapText="1"/>
    </xf>
    <xf numFmtId="1" fontId="0" fillId="11" borderId="1" xfId="0" applyNumberFormat="1" applyFill="1" applyBorder="1" applyAlignment="1">
      <alignment horizontal="center" vertical="center" wrapText="1"/>
    </xf>
    <xf numFmtId="0" fontId="0" fillId="11" borderId="1" xfId="0" applyFill="1" applyBorder="1" applyAlignment="1">
      <alignment horizontal="center" vertical="top" wrapText="1"/>
    </xf>
    <xf numFmtId="0" fontId="3" fillId="11" borderId="1" xfId="0" applyFont="1" applyFill="1" applyBorder="1" applyAlignment="1">
      <alignment horizontal="center" vertical="center"/>
    </xf>
    <xf numFmtId="0" fontId="5" fillId="11" borderId="2" xfId="0" applyFont="1" applyFill="1" applyBorder="1" applyAlignment="1">
      <alignment horizontal="center" vertical="center" wrapText="1"/>
    </xf>
    <xf numFmtId="0" fontId="0" fillId="11" borderId="2" xfId="0" applyFill="1" applyBorder="1" applyAlignment="1">
      <alignment horizontal="center" vertical="center"/>
    </xf>
    <xf numFmtId="49" fontId="5" fillId="11" borderId="1" xfId="0" applyNumberFormat="1" applyFont="1" applyFill="1" applyBorder="1" applyAlignment="1">
      <alignment horizontal="left" vertical="top" wrapText="1"/>
    </xf>
    <xf numFmtId="0" fontId="0" fillId="11" borderId="2" xfId="0" applyFill="1" applyBorder="1" applyAlignment="1">
      <alignment horizontal="center" vertical="center" wrapText="1"/>
    </xf>
    <xf numFmtId="0" fontId="0" fillId="11" borderId="2" xfId="0" applyFill="1" applyBorder="1" applyAlignment="1">
      <alignment horizontal="center" vertical="top" wrapText="1"/>
    </xf>
    <xf numFmtId="0" fontId="0" fillId="11" borderId="1" xfId="0" applyFill="1" applyBorder="1"/>
    <xf numFmtId="49" fontId="0" fillId="11" borderId="1" xfId="0" applyNumberFormat="1" applyFill="1" applyBorder="1" applyAlignment="1">
      <alignment horizontal="left" vertical="top" wrapText="1"/>
    </xf>
    <xf numFmtId="0" fontId="0" fillId="11" borderId="2" xfId="0" applyFill="1" applyBorder="1" applyAlignment="1">
      <alignment wrapText="1"/>
    </xf>
    <xf numFmtId="0" fontId="0" fillId="11" borderId="1" xfId="0" applyFill="1" applyBorder="1" applyAlignment="1">
      <alignment wrapText="1"/>
    </xf>
    <xf numFmtId="0" fontId="5" fillId="11" borderId="1" xfId="0" applyFont="1" applyFill="1" applyBorder="1" applyAlignment="1">
      <alignment wrapText="1"/>
    </xf>
    <xf numFmtId="166" fontId="3" fillId="11" borderId="1" xfId="0" applyNumberFormat="1" applyFont="1" applyFill="1" applyBorder="1" applyAlignment="1">
      <alignment horizontal="left" vertical="top"/>
    </xf>
    <xf numFmtId="166" fontId="3" fillId="11" borderId="1" xfId="0" applyNumberFormat="1" applyFont="1" applyFill="1" applyBorder="1" applyAlignment="1">
      <alignment horizontal="left" vertical="top" wrapText="1"/>
    </xf>
    <xf numFmtId="164" fontId="3" fillId="11" borderId="1" xfId="0" applyNumberFormat="1" applyFont="1" applyFill="1" applyBorder="1" applyAlignment="1">
      <alignment horizontal="left" vertical="top"/>
    </xf>
    <xf numFmtId="0" fontId="0" fillId="11" borderId="1" xfId="0" applyFill="1" applyBorder="1" applyAlignment="1">
      <alignment horizontal="left" vertical="top"/>
    </xf>
    <xf numFmtId="0" fontId="0" fillId="0" borderId="1" xfId="0" applyBorder="1" applyAlignment="1">
      <alignment horizontal="left" vertical="top"/>
    </xf>
    <xf numFmtId="0" fontId="0" fillId="11" borderId="1" xfId="0" applyFont="1" applyFill="1" applyBorder="1" applyAlignment="1">
      <alignment horizontal="center" vertical="center"/>
    </xf>
    <xf numFmtId="0" fontId="0" fillId="11" borderId="1" xfId="0" applyFont="1" applyFill="1" applyBorder="1"/>
    <xf numFmtId="0" fontId="0" fillId="11" borderId="1" xfId="0" applyFont="1" applyFill="1" applyBorder="1" applyAlignment="1">
      <alignment horizontal="left" vertical="top" wrapText="1"/>
    </xf>
    <xf numFmtId="14" fontId="0" fillId="11" borderId="1" xfId="0" applyNumberFormat="1" applyFont="1" applyFill="1" applyBorder="1"/>
    <xf numFmtId="14" fontId="0" fillId="0" borderId="1" xfId="0" applyNumberFormat="1" applyFont="1" applyBorder="1"/>
    <xf numFmtId="0" fontId="0" fillId="0" borderId="1" xfId="0" applyFont="1" applyBorder="1"/>
    <xf numFmtId="0" fontId="0" fillId="0" borderId="1" xfId="0" applyFont="1" applyBorder="1" applyAlignment="1">
      <alignment horizontal="center" vertical="center"/>
    </xf>
    <xf numFmtId="0" fontId="0" fillId="0" borderId="1" xfId="0" applyFont="1" applyBorder="1" applyAlignment="1">
      <alignment horizontal="left" vertical="top" wrapText="1"/>
    </xf>
    <xf numFmtId="14" fontId="0" fillId="11" borderId="1" xfId="0" applyNumberFormat="1" applyFont="1" applyFill="1" applyBorder="1" applyAlignment="1">
      <alignment horizontal="center" vertical="center"/>
    </xf>
    <xf numFmtId="0" fontId="8" fillId="11" borderId="1" xfId="1" applyNumberFormat="1" applyFont="1" applyFill="1" applyBorder="1" applyAlignment="1">
      <alignment horizontal="left" vertical="top" wrapText="1"/>
    </xf>
    <xf numFmtId="0" fontId="0" fillId="11" borderId="1" xfId="0" applyNumberFormat="1" applyFont="1" applyFill="1" applyBorder="1" applyAlignment="1">
      <alignment horizontal="left" vertical="top"/>
    </xf>
    <xf numFmtId="0" fontId="0" fillId="11" borderId="1" xfId="0" applyNumberFormat="1" applyFont="1" applyFill="1" applyBorder="1" applyAlignment="1">
      <alignment horizontal="left" vertical="top" wrapText="1"/>
    </xf>
    <xf numFmtId="0" fontId="0" fillId="0" borderId="1" xfId="0" applyNumberFormat="1" applyFont="1" applyBorder="1" applyAlignment="1">
      <alignment horizontal="left" vertical="top"/>
    </xf>
    <xf numFmtId="0" fontId="0" fillId="11" borderId="1" xfId="0" applyFont="1" applyFill="1" applyBorder="1" applyAlignment="1">
      <alignment wrapText="1"/>
    </xf>
    <xf numFmtId="0" fontId="0" fillId="0" borderId="1" xfId="0" applyFont="1" applyBorder="1" applyAlignment="1">
      <alignment wrapText="1"/>
    </xf>
    <xf numFmtId="0" fontId="13" fillId="12" borderId="1" xfId="0" applyFont="1" applyFill="1" applyBorder="1" applyAlignment="1">
      <alignment horizontal="center" vertical="center"/>
    </xf>
    <xf numFmtId="0" fontId="0" fillId="11" borderId="0" xfId="0" applyFill="1" applyAlignment="1">
      <alignment horizontal="center" vertical="center"/>
    </xf>
    <xf numFmtId="0" fontId="4" fillId="11" borderId="0" xfId="0" applyFont="1" applyFill="1"/>
    <xf numFmtId="0" fontId="18" fillId="11" borderId="0" xfId="0" applyFont="1" applyFill="1" applyBorder="1" applyAlignment="1">
      <alignment horizontal="center" vertical="top" wrapText="1"/>
    </xf>
    <xf numFmtId="0" fontId="0" fillId="0" borderId="0" xfId="0" applyBorder="1" applyAlignment="1">
      <alignment vertical="top"/>
    </xf>
    <xf numFmtId="0" fontId="0" fillId="11" borderId="0" xfId="0" applyFill="1" applyBorder="1" applyAlignment="1">
      <alignment vertical="top"/>
    </xf>
    <xf numFmtId="0" fontId="0" fillId="11" borderId="0" xfId="0" applyFill="1" applyBorder="1" applyAlignment="1">
      <alignment horizontal="center" vertical="top"/>
    </xf>
    <xf numFmtId="0" fontId="9" fillId="0" borderId="0" xfId="0" applyFont="1" applyFill="1" applyAlignment="1">
      <alignment horizontal="center" vertical="center"/>
    </xf>
    <xf numFmtId="0" fontId="17" fillId="0" borderId="0" xfId="0" applyFont="1" applyFill="1" applyAlignment="1">
      <alignment horizontal="center" vertical="center"/>
    </xf>
    <xf numFmtId="0" fontId="17" fillId="0" borderId="0" xfId="0" applyFont="1" applyFill="1" applyBorder="1" applyAlignment="1">
      <alignment horizontal="center" vertical="center"/>
    </xf>
    <xf numFmtId="14" fontId="0" fillId="0" borderId="0" xfId="0" applyNumberFormat="1" applyFill="1" applyBorder="1"/>
    <xf numFmtId="14" fontId="0" fillId="0" borderId="0" xfId="0" applyNumberFormat="1" applyFill="1" applyBorder="1" applyAlignment="1">
      <alignment vertical="center"/>
    </xf>
    <xf numFmtId="0" fontId="0" fillId="0" borderId="0" xfId="0" applyFill="1" applyBorder="1" applyAlignment="1">
      <alignment vertical="center"/>
    </xf>
    <xf numFmtId="0" fontId="0" fillId="0" borderId="0" xfId="0" applyFill="1" applyAlignment="1">
      <alignment wrapText="1"/>
    </xf>
    <xf numFmtId="14" fontId="0" fillId="11" borderId="0" xfId="0" applyNumberFormat="1" applyFill="1" applyAlignment="1">
      <alignment horizontal="center" vertical="center"/>
    </xf>
    <xf numFmtId="0" fontId="0" fillId="11" borderId="1" xfId="0" applyFill="1" applyBorder="1" applyAlignment="1">
      <alignment vertical="top" wrapText="1"/>
    </xf>
    <xf numFmtId="0" fontId="0" fillId="0" borderId="1" xfId="0" applyBorder="1" applyAlignment="1">
      <alignment vertical="top" wrapText="1"/>
    </xf>
    <xf numFmtId="1" fontId="0" fillId="11" borderId="1" xfId="0" applyNumberFormat="1" applyFill="1" applyBorder="1" applyAlignment="1">
      <alignment horizontal="left" vertical="top" wrapText="1"/>
    </xf>
    <xf numFmtId="1" fontId="0" fillId="11" borderId="1" xfId="0" applyNumberFormat="1" applyFill="1" applyBorder="1" applyAlignment="1">
      <alignment horizontal="left" vertical="top"/>
    </xf>
    <xf numFmtId="1" fontId="0" fillId="0" borderId="1" xfId="0" applyNumberFormat="1" applyBorder="1" applyAlignment="1">
      <alignment horizontal="left" vertical="top"/>
    </xf>
    <xf numFmtId="14" fontId="0" fillId="0" borderId="0" xfId="0" applyNumberFormat="1" applyBorder="1" applyAlignment="1">
      <alignment vertical="top"/>
    </xf>
    <xf numFmtId="14" fontId="0" fillId="11" borderId="1" xfId="0" applyNumberFormat="1" applyFill="1" applyBorder="1"/>
    <xf numFmtId="0" fontId="5" fillId="13" borderId="1" xfId="0" applyFont="1" applyFill="1" applyBorder="1" applyAlignment="1">
      <alignment horizontal="center" vertical="center"/>
    </xf>
    <xf numFmtId="14" fontId="5" fillId="11" borderId="1" xfId="0" applyNumberFormat="1" applyFont="1" applyFill="1" applyBorder="1" applyAlignment="1">
      <alignment horizontal="left" vertical="top" wrapText="1"/>
    </xf>
    <xf numFmtId="14" fontId="0" fillId="11" borderId="0" xfId="0" applyNumberFormat="1" applyFill="1" applyAlignment="1">
      <alignment horizontal="left" vertical="top" wrapText="1"/>
    </xf>
    <xf numFmtId="14" fontId="0" fillId="0" borderId="0" xfId="0" applyNumberFormat="1" applyAlignment="1">
      <alignment horizontal="left" vertical="top" wrapText="1"/>
    </xf>
    <xf numFmtId="0" fontId="2" fillId="0" borderId="0" xfId="0" applyFont="1" applyAlignment="1">
      <alignment vertical="top" wrapText="1"/>
    </xf>
    <xf numFmtId="14" fontId="0" fillId="0" borderId="0" xfId="0" applyNumberFormat="1" applyFill="1" applyBorder="1" applyAlignment="1">
      <alignment wrapText="1"/>
    </xf>
    <xf numFmtId="22" fontId="4" fillId="0" borderId="0" xfId="0" applyNumberFormat="1" applyFont="1"/>
    <xf numFmtId="21" fontId="4" fillId="0" borderId="0" xfId="0" applyNumberFormat="1" applyFont="1"/>
    <xf numFmtId="0" fontId="0" fillId="0" borderId="0" xfId="0" pivotButton="1"/>
    <xf numFmtId="10" fontId="0" fillId="0" borderId="0" xfId="0" applyNumberFormat="1"/>
    <xf numFmtId="14" fontId="0" fillId="0" borderId="0" xfId="0" applyNumberFormat="1" applyAlignment="1">
      <alignment horizontal="left"/>
    </xf>
    <xf numFmtId="0" fontId="0" fillId="11" borderId="1" xfId="0" applyNumberFormat="1" applyFill="1" applyBorder="1" applyAlignment="1">
      <alignment horizontal="center" vertical="center"/>
    </xf>
    <xf numFmtId="0" fontId="0" fillId="0" borderId="0" xfId="0" applyFill="1" applyBorder="1" applyAlignment="1">
      <alignment wrapText="1"/>
    </xf>
    <xf numFmtId="0" fontId="0" fillId="11" borderId="0" xfId="0" applyFill="1" applyBorder="1"/>
    <xf numFmtId="14" fontId="0" fillId="11" borderId="0" xfId="0" applyNumberFormat="1" applyFill="1" applyBorder="1"/>
    <xf numFmtId="0" fontId="3" fillId="4" borderId="20" xfId="0" applyFont="1" applyFill="1" applyBorder="1" applyAlignment="1" applyProtection="1">
      <alignment horizontal="center" vertical="center"/>
      <protection locked="0"/>
    </xf>
    <xf numFmtId="0" fontId="3" fillId="4" borderId="21" xfId="0" applyFont="1" applyFill="1" applyBorder="1" applyAlignment="1" applyProtection="1">
      <alignment horizontal="center" vertical="center"/>
      <protection locked="0"/>
    </xf>
    <xf numFmtId="0" fontId="11" fillId="8" borderId="28" xfId="0" applyFont="1" applyFill="1" applyBorder="1" applyAlignment="1" applyProtection="1">
      <alignment horizontal="center" vertical="center" wrapText="1"/>
      <protection locked="0"/>
    </xf>
    <xf numFmtId="0" fontId="11" fillId="8" borderId="24" xfId="0" applyFont="1" applyFill="1" applyBorder="1" applyAlignment="1" applyProtection="1">
      <alignment horizontal="center" vertical="center" wrapText="1"/>
      <protection locked="0"/>
    </xf>
    <xf numFmtId="0" fontId="3" fillId="4" borderId="19" xfId="0" applyFont="1" applyFill="1" applyBorder="1" applyAlignment="1" applyProtection="1">
      <alignment horizontal="center"/>
      <protection locked="0"/>
    </xf>
    <xf numFmtId="0" fontId="3" fillId="4" borderId="20" xfId="0" applyFont="1" applyFill="1" applyBorder="1" applyAlignment="1" applyProtection="1">
      <alignment horizontal="center"/>
      <protection locked="0"/>
    </xf>
    <xf numFmtId="0" fontId="3" fillId="4" borderId="21" xfId="0" applyFont="1" applyFill="1" applyBorder="1" applyAlignment="1" applyProtection="1">
      <alignment horizontal="center"/>
      <protection locked="0"/>
    </xf>
    <xf numFmtId="0" fontId="9" fillId="8" borderId="22" xfId="0" applyFont="1" applyFill="1" applyBorder="1" applyAlignment="1" applyProtection="1">
      <alignment horizontal="center" vertical="center"/>
      <protection locked="0"/>
    </xf>
    <xf numFmtId="0" fontId="9" fillId="8" borderId="23" xfId="0" applyFont="1" applyFill="1" applyBorder="1" applyAlignment="1" applyProtection="1">
      <alignment horizontal="center" vertical="center"/>
      <protection locked="0"/>
    </xf>
    <xf numFmtId="0" fontId="9" fillId="8" borderId="24" xfId="0" applyFont="1" applyFill="1" applyBorder="1" applyAlignment="1" applyProtection="1">
      <alignment horizontal="center" vertical="center"/>
      <protection locked="0"/>
    </xf>
    <xf numFmtId="0" fontId="9" fillId="4" borderId="19" xfId="0" applyFont="1" applyFill="1" applyBorder="1" applyAlignment="1" applyProtection="1">
      <alignment horizontal="center"/>
      <protection locked="0"/>
    </xf>
    <xf numFmtId="0" fontId="9" fillId="4" borderId="20" xfId="0" applyFont="1" applyFill="1" applyBorder="1" applyAlignment="1" applyProtection="1">
      <alignment horizontal="center"/>
      <protection locked="0"/>
    </xf>
    <xf numFmtId="0" fontId="9" fillId="4" borderId="21" xfId="0" applyFont="1" applyFill="1" applyBorder="1" applyAlignment="1" applyProtection="1">
      <alignment horizontal="center"/>
      <protection locked="0"/>
    </xf>
    <xf numFmtId="0" fontId="3" fillId="8" borderId="22" xfId="0" applyNumberFormat="1" applyFont="1" applyFill="1" applyBorder="1" applyAlignment="1" applyProtection="1">
      <alignment horizontal="left" vertical="top" wrapText="1"/>
      <protection locked="0"/>
    </xf>
    <xf numFmtId="0" fontId="3" fillId="8" borderId="23" xfId="0" applyNumberFormat="1" applyFont="1" applyFill="1" applyBorder="1" applyAlignment="1" applyProtection="1">
      <alignment horizontal="left" vertical="top" wrapText="1"/>
      <protection locked="0"/>
    </xf>
    <xf numFmtId="0" fontId="3" fillId="8" borderId="24" xfId="0" applyNumberFormat="1" applyFont="1" applyFill="1" applyBorder="1" applyAlignment="1" applyProtection="1">
      <alignment horizontal="left" vertical="top" wrapText="1"/>
      <protection locked="0"/>
    </xf>
    <xf numFmtId="0" fontId="12" fillId="8" borderId="22" xfId="0" applyNumberFormat="1" applyFont="1" applyFill="1" applyBorder="1" applyAlignment="1" applyProtection="1">
      <alignment horizontal="left" vertical="top" wrapText="1"/>
      <protection locked="0"/>
    </xf>
    <xf numFmtId="0" fontId="12" fillId="8" borderId="23" xfId="0" applyNumberFormat="1" applyFont="1" applyFill="1" applyBorder="1" applyAlignment="1" applyProtection="1">
      <alignment horizontal="left" vertical="top" wrapText="1"/>
      <protection locked="0"/>
    </xf>
    <xf numFmtId="0" fontId="12" fillId="8" borderId="24" xfId="0" applyNumberFormat="1" applyFont="1" applyFill="1" applyBorder="1" applyAlignment="1" applyProtection="1">
      <alignment horizontal="left" vertical="top" wrapText="1"/>
      <protection locked="0"/>
    </xf>
    <xf numFmtId="0" fontId="3" fillId="4" borderId="29" xfId="0" applyFont="1" applyFill="1" applyBorder="1" applyAlignment="1" applyProtection="1">
      <alignment horizontal="center" vertical="center" wrapText="1"/>
    </xf>
    <xf numFmtId="0" fontId="0" fillId="0" borderId="7" xfId="0" applyBorder="1"/>
    <xf numFmtId="49" fontId="12" fillId="8" borderId="30" xfId="0" applyNumberFormat="1" applyFont="1" applyFill="1" applyBorder="1" applyAlignment="1">
      <alignment horizontal="center"/>
    </xf>
    <xf numFmtId="49" fontId="12" fillId="8" borderId="18" xfId="0" applyNumberFormat="1" applyFont="1" applyFill="1" applyBorder="1" applyAlignment="1">
      <alignment horizontal="center"/>
    </xf>
    <xf numFmtId="0" fontId="19" fillId="5" borderId="0" xfId="0" applyFont="1" applyFill="1" applyAlignment="1">
      <alignment horizontal="left" vertical="top" wrapText="1"/>
    </xf>
    <xf numFmtId="0" fontId="19" fillId="5" borderId="32" xfId="0" applyFont="1" applyFill="1" applyBorder="1" applyAlignment="1">
      <alignment horizontal="left" vertical="top" wrapText="1"/>
    </xf>
    <xf numFmtId="164" fontId="12" fillId="8" borderId="17" xfId="0" applyNumberFormat="1" applyFont="1" applyFill="1" applyBorder="1" applyAlignment="1" applyProtection="1">
      <alignment horizontal="center" vertical="center"/>
      <protection locked="0"/>
    </xf>
    <xf numFmtId="164" fontId="12" fillId="8" borderId="18" xfId="0" applyNumberFormat="1" applyFont="1" applyFill="1" applyBorder="1" applyAlignment="1" applyProtection="1">
      <alignment horizontal="center" vertical="center"/>
      <protection locked="0"/>
    </xf>
    <xf numFmtId="0" fontId="13" fillId="3" borderId="0" xfId="0" applyFont="1" applyFill="1" applyAlignment="1" applyProtection="1">
      <alignment horizontal="center" vertical="center" wrapText="1"/>
      <protection locked="0"/>
    </xf>
    <xf numFmtId="0" fontId="3" fillId="4" borderId="6" xfId="0" applyFont="1" applyFill="1" applyBorder="1" applyAlignment="1" applyProtection="1">
      <alignment horizontal="center"/>
      <protection locked="0"/>
    </xf>
    <xf numFmtId="0" fontId="3" fillId="4" borderId="7" xfId="0" applyFont="1" applyFill="1" applyBorder="1" applyAlignment="1" applyProtection="1">
      <alignment horizontal="center"/>
      <protection locked="0"/>
    </xf>
    <xf numFmtId="0" fontId="12" fillId="8" borderId="10" xfId="0" applyFont="1" applyFill="1" applyBorder="1" applyAlignment="1" applyProtection="1">
      <alignment horizontal="center" vertical="center"/>
      <protection locked="0"/>
    </xf>
    <xf numFmtId="0" fontId="12" fillId="8" borderId="11" xfId="0" applyFont="1" applyFill="1" applyBorder="1" applyAlignment="1" applyProtection="1">
      <alignment horizontal="center" vertical="center"/>
      <protection locked="0"/>
    </xf>
    <xf numFmtId="0" fontId="3" fillId="4" borderId="0" xfId="0" applyFont="1" applyFill="1" applyBorder="1" applyAlignment="1" applyProtection="1">
      <alignment horizontal="center" vertical="center" wrapText="1"/>
    </xf>
    <xf numFmtId="0" fontId="3" fillId="4" borderId="14" xfId="0" applyFont="1" applyFill="1" applyBorder="1" applyAlignment="1" applyProtection="1">
      <alignment horizontal="center" vertical="center" wrapText="1"/>
    </xf>
    <xf numFmtId="0" fontId="10" fillId="7" borderId="0" xfId="0" applyFont="1" applyFill="1" applyAlignment="1" applyProtection="1">
      <alignment horizontal="center" vertical="center" wrapText="1"/>
      <protection locked="0"/>
    </xf>
    <xf numFmtId="0" fontId="15" fillId="3" borderId="1" xfId="0" applyFont="1" applyFill="1" applyBorder="1" applyAlignment="1">
      <alignment horizontal="center" vertical="center" wrapText="1"/>
    </xf>
    <xf numFmtId="165" fontId="2" fillId="0" borderId="1" xfId="0" applyNumberFormat="1" applyFont="1" applyBorder="1" applyAlignment="1">
      <alignment horizontal="center" vertical="center" wrapText="1"/>
    </xf>
    <xf numFmtId="0" fontId="16" fillId="0" borderId="1" xfId="0" applyFont="1" applyBorder="1" applyAlignment="1">
      <alignment horizontal="left" vertical="top"/>
    </xf>
    <xf numFmtId="0" fontId="0" fillId="11" borderId="33" xfId="0" applyFill="1" applyBorder="1" applyAlignment="1">
      <alignment horizontal="left" vertical="top" wrapText="1"/>
    </xf>
    <xf numFmtId="0" fontId="0" fillId="11" borderId="34" xfId="0" applyFill="1" applyBorder="1" applyAlignment="1">
      <alignment horizontal="left" vertical="top" wrapText="1"/>
    </xf>
    <xf numFmtId="0" fontId="0" fillId="11" borderId="35" xfId="0" applyFill="1" applyBorder="1" applyAlignment="1">
      <alignment horizontal="left" vertical="top" wrapText="1"/>
    </xf>
    <xf numFmtId="0" fontId="17" fillId="2" borderId="33" xfId="0" applyFont="1" applyFill="1" applyBorder="1" applyAlignment="1">
      <alignment horizontal="center" vertical="center" wrapText="1"/>
    </xf>
    <xf numFmtId="0" fontId="17" fillId="2" borderId="34" xfId="0" applyFont="1" applyFill="1" applyBorder="1" applyAlignment="1">
      <alignment horizontal="center" vertical="center" wrapText="1"/>
    </xf>
    <xf numFmtId="0" fontId="17" fillId="2" borderId="35" xfId="0" applyFont="1" applyFill="1" applyBorder="1" applyAlignment="1">
      <alignment horizontal="center" vertical="center" wrapText="1"/>
    </xf>
  </cellXfs>
  <cellStyles count="3">
    <cellStyle name="Currency" xfId="1" builtinId="4"/>
    <cellStyle name="Normal" xfId="0" builtinId="0"/>
    <cellStyle name="Normal 2" xfId="2" xr:uid="{00000000-0005-0000-0000-000002000000}"/>
  </cellStyles>
  <dxfs count="7">
    <dxf>
      <font>
        <b/>
        <i val="0"/>
        <color rgb="FFFF0000"/>
      </font>
      <fill>
        <patternFill>
          <bgColor rgb="FFFFFF00"/>
        </patternFill>
      </fill>
    </dxf>
    <dxf>
      <font>
        <b/>
        <i val="0"/>
      </font>
      <fill>
        <patternFill>
          <bgColor rgb="FFFFFF00"/>
        </patternFill>
      </fill>
    </dxf>
    <dxf>
      <font>
        <b/>
        <i val="0"/>
      </font>
      <fill>
        <patternFill>
          <bgColor rgb="FFFF0000"/>
        </patternFill>
      </fill>
    </dxf>
    <dxf>
      <font>
        <b/>
        <i val="0"/>
      </font>
      <fill>
        <patternFill>
          <bgColor rgb="FFFF0000"/>
        </patternFill>
      </fill>
    </dxf>
    <dxf>
      <font>
        <b/>
        <i val="0"/>
        <color auto="1"/>
      </font>
      <fill>
        <patternFill>
          <bgColor rgb="FF00B050"/>
        </patternFill>
      </fill>
    </dxf>
    <dxf>
      <font>
        <b/>
        <i val="0"/>
      </font>
      <fill>
        <patternFill>
          <bgColor rgb="FFFF0000"/>
        </patternFill>
      </fill>
    </dxf>
    <dxf>
      <fill>
        <patternFill>
          <bgColor rgb="FFFFFF00"/>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[EMR_DB v1.1.xlsm]Metrics!PivotTable1</c:name>
    <c:fmtId val="6"/>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US"/>
            </a:p>
          </c:txPr>
          <c:showLegendKey val="0"/>
          <c:showVal val="1"/>
          <c:showCatName val="0"/>
          <c:showSerName val="1"/>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US"/>
            </a:p>
          </c:txPr>
          <c:showLegendKey val="0"/>
          <c:showVal val="1"/>
          <c:showCatName val="0"/>
          <c:showSerName val="1"/>
          <c:showPercent val="0"/>
          <c:showBubbleSize val="0"/>
          <c:extLst>
            <c:ext xmlns:c15="http://schemas.microsoft.com/office/drawing/2012/chart" uri="{CE6537A1-D6FC-4f65-9D91-7224C49458BB}"/>
          </c:extLst>
        </c:dLbl>
      </c:pivotFmt>
    </c:pivotFmts>
    <c:plotArea>
      <c:layout/>
      <c:barChart>
        <c:barDir val="col"/>
        <c:grouping val="percentStacked"/>
        <c:varyColors val="0"/>
        <c:ser>
          <c:idx val="0"/>
          <c:order val="0"/>
          <c:tx>
            <c:strRef>
              <c:f>Metrics!$B$3:$B$4</c:f>
              <c:strCache>
                <c:ptCount val="1"/>
                <c:pt idx="0">
                  <c:v>CLOSED</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US"/>
              </a:p>
            </c:txPr>
            <c:showLegendKey val="0"/>
            <c:showVal val="1"/>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Metrics!$A$5:$A$14</c:f>
              <c:strCache>
                <c:ptCount val="9"/>
                <c:pt idx="0">
                  <c:v>Jan</c:v>
                </c:pt>
                <c:pt idx="1">
                  <c:v>Feb</c:v>
                </c:pt>
                <c:pt idx="2">
                  <c:v>Mar</c:v>
                </c:pt>
                <c:pt idx="3">
                  <c:v>Apr</c:v>
                </c:pt>
                <c:pt idx="4">
                  <c:v>May</c:v>
                </c:pt>
                <c:pt idx="5">
                  <c:v>Jun</c:v>
                </c:pt>
                <c:pt idx="6">
                  <c:v>Jul</c:v>
                </c:pt>
                <c:pt idx="7">
                  <c:v>Aug</c:v>
                </c:pt>
                <c:pt idx="8">
                  <c:v>Sep</c:v>
                </c:pt>
              </c:strCache>
            </c:strRef>
          </c:cat>
          <c:val>
            <c:numRef>
              <c:f>Metrics!$B$5:$B$14</c:f>
              <c:numCache>
                <c:formatCode>0.00%</c:formatCode>
                <c:ptCount val="9"/>
                <c:pt idx="0">
                  <c:v>0.9285714285714286</c:v>
                </c:pt>
                <c:pt idx="1">
                  <c:v>0.96875</c:v>
                </c:pt>
                <c:pt idx="2">
                  <c:v>0.95454545454545459</c:v>
                </c:pt>
                <c:pt idx="3">
                  <c:v>0.9</c:v>
                </c:pt>
                <c:pt idx="4">
                  <c:v>0.88235294117647056</c:v>
                </c:pt>
                <c:pt idx="5">
                  <c:v>0.6</c:v>
                </c:pt>
                <c:pt idx="6">
                  <c:v>0.69230769230769229</c:v>
                </c:pt>
                <c:pt idx="7">
                  <c:v>0.95652173913043481</c:v>
                </c:pt>
                <c:pt idx="8">
                  <c:v>0.30434782608695654</c:v>
                </c:pt>
              </c:numCache>
            </c:numRef>
          </c:val>
          <c:extLst>
            <c:ext xmlns:c16="http://schemas.microsoft.com/office/drawing/2014/chart" uri="{C3380CC4-5D6E-409C-BE32-E72D297353CC}">
              <c16:uniqueId val="{00000000-F2DB-41A1-AC0B-783B8B5B4D4D}"/>
            </c:ext>
          </c:extLst>
        </c:ser>
        <c:ser>
          <c:idx val="1"/>
          <c:order val="1"/>
          <c:tx>
            <c:strRef>
              <c:f>Metrics!$C$3:$C$4</c:f>
              <c:strCache>
                <c:ptCount val="1"/>
                <c:pt idx="0">
                  <c:v>OPEN</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US"/>
              </a:p>
            </c:txPr>
            <c:showLegendKey val="0"/>
            <c:showVal val="1"/>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Metrics!$A$5:$A$14</c:f>
              <c:strCache>
                <c:ptCount val="9"/>
                <c:pt idx="0">
                  <c:v>Jan</c:v>
                </c:pt>
                <c:pt idx="1">
                  <c:v>Feb</c:v>
                </c:pt>
                <c:pt idx="2">
                  <c:v>Mar</c:v>
                </c:pt>
                <c:pt idx="3">
                  <c:v>Apr</c:v>
                </c:pt>
                <c:pt idx="4">
                  <c:v>May</c:v>
                </c:pt>
                <c:pt idx="5">
                  <c:v>Jun</c:v>
                </c:pt>
                <c:pt idx="6">
                  <c:v>Jul</c:v>
                </c:pt>
                <c:pt idx="7">
                  <c:v>Aug</c:v>
                </c:pt>
                <c:pt idx="8">
                  <c:v>Sep</c:v>
                </c:pt>
              </c:strCache>
            </c:strRef>
          </c:cat>
          <c:val>
            <c:numRef>
              <c:f>Metrics!$C$5:$C$14</c:f>
              <c:numCache>
                <c:formatCode>0.00%</c:formatCode>
                <c:ptCount val="9"/>
                <c:pt idx="0">
                  <c:v>7.1428571428571425E-2</c:v>
                </c:pt>
                <c:pt idx="1">
                  <c:v>3.125E-2</c:v>
                </c:pt>
                <c:pt idx="2">
                  <c:v>4.5454545454545456E-2</c:v>
                </c:pt>
                <c:pt idx="3">
                  <c:v>0.1</c:v>
                </c:pt>
                <c:pt idx="4">
                  <c:v>0.11764705882352941</c:v>
                </c:pt>
                <c:pt idx="5">
                  <c:v>0.4</c:v>
                </c:pt>
                <c:pt idx="6">
                  <c:v>0.30769230769230771</c:v>
                </c:pt>
                <c:pt idx="7">
                  <c:v>4.3478260869565216E-2</c:v>
                </c:pt>
                <c:pt idx="8">
                  <c:v>0.69565217391304346</c:v>
                </c:pt>
              </c:numCache>
            </c:numRef>
          </c:val>
          <c:extLst>
            <c:ext xmlns:c16="http://schemas.microsoft.com/office/drawing/2014/chart" uri="{C3380CC4-5D6E-409C-BE32-E72D297353CC}">
              <c16:uniqueId val="{00000001-F2DB-41A1-AC0B-783B8B5B4D4D}"/>
            </c:ext>
          </c:extLst>
        </c:ser>
        <c:dLbls>
          <c:showLegendKey val="0"/>
          <c:showVal val="0"/>
          <c:showCatName val="0"/>
          <c:showSerName val="0"/>
          <c:showPercent val="0"/>
          <c:showBubbleSize val="0"/>
        </c:dLbls>
        <c:gapWidth val="150"/>
        <c:overlap val="100"/>
        <c:axId val="268734560"/>
        <c:axId val="269008504"/>
      </c:barChart>
      <c:catAx>
        <c:axId val="26873456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9008504"/>
        <c:crosses val="autoZero"/>
        <c:auto val="1"/>
        <c:lblAlgn val="ctr"/>
        <c:lblOffset val="100"/>
        <c:noMultiLvlLbl val="0"/>
      </c:catAx>
      <c:valAx>
        <c:axId val="26900850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8734560"/>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twoCellAnchor>
    <xdr:from>
      <xdr:col>5</xdr:col>
      <xdr:colOff>575983</xdr:colOff>
      <xdr:row>1</xdr:row>
      <xdr:rowOff>156882</xdr:rowOff>
    </xdr:from>
    <xdr:to>
      <xdr:col>6</xdr:col>
      <xdr:colOff>537881</xdr:colOff>
      <xdr:row>21</xdr:row>
      <xdr:rowOff>11204</xdr:rowOff>
    </xdr:to>
    <xdr:sp macro="" textlink="">
      <xdr:nvSpPr>
        <xdr:cNvPr id="2" name="Text Box 15">
          <a:extLst>
            <a:ext uri="{FF2B5EF4-FFF2-40B4-BE49-F238E27FC236}">
              <a16:creationId xmlns:a16="http://schemas.microsoft.com/office/drawing/2014/main" id="{00000000-0008-0000-0000-000002000000}"/>
            </a:ext>
          </a:extLst>
        </xdr:cNvPr>
        <xdr:cNvSpPr txBox="1">
          <a:spLocks noChangeArrowheads="1"/>
        </xdr:cNvSpPr>
      </xdr:nvSpPr>
      <xdr:spPr bwMode="auto">
        <a:xfrm rot="16200000">
          <a:off x="2366683" y="4361329"/>
          <a:ext cx="7295028" cy="567016"/>
        </a:xfrm>
        <a:prstGeom prst="rect">
          <a:avLst/>
        </a:prstGeom>
        <a:solidFill>
          <a:srgbClr val="FFFFFF"/>
        </a:solidFill>
        <a:ln w="9525">
          <a:noFill/>
          <a:miter lim="800000"/>
          <a:headEnd/>
          <a:tailEnd/>
        </a:ln>
      </xdr:spPr>
      <xdr:txBody>
        <a:bodyPr vertOverflow="clip" vert="vert270" wrap="square" lIns="27432" tIns="27432" rIns="0" bIns="0" anchor="t" upright="1"/>
        <a:lstStyle/>
        <a:p>
          <a:pPr algn="l" rtl="0">
            <a:defRPr sz="1000"/>
          </a:pPr>
          <a:r>
            <a:rPr lang="en-US" sz="1200" b="0" i="0" u="none" strike="noStrike" baseline="0">
              <a:ln w="15875">
                <a:solidFill>
                  <a:srgbClr val="FF0000"/>
                </a:solidFill>
              </a:ln>
              <a:solidFill>
                <a:srgbClr val="000000"/>
              </a:solidFill>
              <a:latin typeface="Calibri"/>
              <a:cs typeface="Calibri"/>
            </a:rPr>
            <a:t>KEEP WITH EQUIPMENT UNTIL REPAIR &amp; GIVE COPY TO </a:t>
          </a:r>
          <a:r>
            <a:rPr lang="en-US" sz="1200" b="0" i="0" u="sng" strike="noStrike" baseline="0">
              <a:ln w="15875">
                <a:solidFill>
                  <a:srgbClr val="FF0000"/>
                </a:solidFill>
              </a:ln>
              <a:solidFill>
                <a:srgbClr val="000000"/>
              </a:solidFill>
              <a:latin typeface="Calibri"/>
              <a:cs typeface="Calibri"/>
            </a:rPr>
            <a:t>TEST ENGINEER </a:t>
          </a:r>
          <a:r>
            <a:rPr lang="en-US" sz="1200" b="0" i="0" u="none" strike="noStrike" baseline="0">
              <a:ln w="15875">
                <a:solidFill>
                  <a:srgbClr val="FF0000"/>
                </a:solidFill>
              </a:ln>
              <a:solidFill>
                <a:srgbClr val="000000"/>
              </a:solidFill>
              <a:latin typeface="Calibri"/>
              <a:cs typeface="Calibri"/>
            </a:rPr>
            <a:t>&amp; </a:t>
          </a:r>
          <a:r>
            <a:rPr lang="en-US" sz="1200" b="0" i="0" u="sng" strike="noStrike" baseline="0">
              <a:ln w="15875">
                <a:solidFill>
                  <a:srgbClr val="FF0000"/>
                </a:solidFill>
              </a:ln>
              <a:solidFill>
                <a:srgbClr val="000000"/>
              </a:solidFill>
              <a:latin typeface="Calibri"/>
              <a:cs typeface="Calibri"/>
            </a:rPr>
            <a:t>TECHNICAL OPERATIONS MANAGER</a:t>
          </a:r>
        </a:p>
      </xdr:txBody>
    </xdr:sp>
    <xdr:clientData/>
  </xdr:twoCellAnchor>
  <mc:AlternateContent xmlns:mc="http://schemas.openxmlformats.org/markup-compatibility/2006">
    <mc:Choice xmlns:a14="http://schemas.microsoft.com/office/drawing/2010/main" Requires="a14">
      <xdr:twoCellAnchor editAs="oneCell">
        <xdr:from>
          <xdr:col>2</xdr:col>
          <xdr:colOff>1114425</xdr:colOff>
          <xdr:row>22</xdr:row>
          <xdr:rowOff>171450</xdr:rowOff>
        </xdr:from>
        <xdr:to>
          <xdr:col>3</xdr:col>
          <xdr:colOff>533400</xdr:colOff>
          <xdr:row>24</xdr:row>
          <xdr:rowOff>66675</xdr:rowOff>
        </xdr:to>
        <xdr:sp macro="" textlink="">
          <xdr:nvSpPr>
            <xdr:cNvPr id="2065" name="PRINT_FORM" hidden="1">
              <a:extLst>
                <a:ext uri="{63B3BB69-23CF-44E3-9099-C40C66FF867C}">
                  <a14:compatExt spid="_x0000_s2065"/>
                </a:ext>
                <a:ext uri="{FF2B5EF4-FFF2-40B4-BE49-F238E27FC236}">
                  <a16:creationId xmlns:a16="http://schemas.microsoft.com/office/drawing/2014/main" id="{00000000-0008-0000-0000-000011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133350</xdr:colOff>
          <xdr:row>22</xdr:row>
          <xdr:rowOff>142875</xdr:rowOff>
        </xdr:from>
        <xdr:to>
          <xdr:col>1</xdr:col>
          <xdr:colOff>1457325</xdr:colOff>
          <xdr:row>1048575</xdr:row>
          <xdr:rowOff>142875</xdr:rowOff>
        </xdr:to>
        <xdr:sp macro="" textlink="">
          <xdr:nvSpPr>
            <xdr:cNvPr id="2072" name="LAUNCH_SEARCH" hidden="1">
              <a:extLst>
                <a:ext uri="{63B3BB69-23CF-44E3-9099-C40C66FF867C}">
                  <a14:compatExt spid="_x0000_s2072"/>
                </a:ext>
                <a:ext uri="{FF2B5EF4-FFF2-40B4-BE49-F238E27FC236}">
                  <a16:creationId xmlns:a16="http://schemas.microsoft.com/office/drawing/2014/main" id="{00000000-0008-0000-0000-000018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xdr:from>
      <xdr:col>4</xdr:col>
      <xdr:colOff>306917</xdr:colOff>
      <xdr:row>23</xdr:row>
      <xdr:rowOff>148167</xdr:rowOff>
    </xdr:from>
    <xdr:to>
      <xdr:col>5</xdr:col>
      <xdr:colOff>84666</xdr:colOff>
      <xdr:row>25</xdr:row>
      <xdr:rowOff>21167</xdr:rowOff>
    </xdr:to>
    <xdr:sp macro="[0]!print_the_form" textlink="">
      <xdr:nvSpPr>
        <xdr:cNvPr id="3" name="Rectangle: Rounded Corners 2">
          <a:extLst>
            <a:ext uri="{FF2B5EF4-FFF2-40B4-BE49-F238E27FC236}">
              <a16:creationId xmlns:a16="http://schemas.microsoft.com/office/drawing/2014/main" id="{00000000-0008-0000-0000-000003000000}"/>
            </a:ext>
          </a:extLst>
        </xdr:cNvPr>
        <xdr:cNvSpPr/>
      </xdr:nvSpPr>
      <xdr:spPr>
        <a:xfrm>
          <a:off x="4688417" y="8794750"/>
          <a:ext cx="560916" cy="2540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PRINT</a:t>
          </a:r>
        </a:p>
      </xdr:txBody>
    </xdr:sp>
    <xdr:clientData fPrintsWithSheet="0"/>
  </xdr:twoCellAnchor>
</xdr:wsDr>
</file>

<file path=xl/drawings/drawing2.xml><?xml version="1.0" encoding="utf-8"?>
<xdr:wsDr xmlns:xdr="http://schemas.openxmlformats.org/drawingml/2006/spreadsheetDrawing" xmlns:a="http://schemas.openxmlformats.org/drawingml/2006/main">
  <xdr:twoCellAnchor>
    <xdr:from>
      <xdr:col>5</xdr:col>
      <xdr:colOff>300037</xdr:colOff>
      <xdr:row>1</xdr:row>
      <xdr:rowOff>166686</xdr:rowOff>
    </xdr:from>
    <xdr:to>
      <xdr:col>28</xdr:col>
      <xdr:colOff>9525</xdr:colOff>
      <xdr:row>28</xdr:row>
      <xdr:rowOff>38100</xdr:rowOff>
    </xdr:to>
    <xdr:graphicFrame macro="">
      <xdr:nvGraphicFramePr>
        <xdr:cNvPr id="2" name="Chart 1">
          <a:extLst>
            <a:ext uri="{FF2B5EF4-FFF2-40B4-BE49-F238E27FC236}">
              <a16:creationId xmlns:a16="http://schemas.microsoft.com/office/drawing/2014/main" id="{00000000-0008-0000-09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Dowd, Jimmie" refreshedDate="43375.627525925927" createdVersion="6" refreshedVersion="6" minRefreshableVersion="3" recordCount="221" xr:uid="{E1E694EF-FB6F-4532-8B61-B6378543BCEF}">
  <cacheSource type="worksheet">
    <worksheetSource ref="A1:Z222" sheet="EMR Data"/>
  </cacheSource>
  <cacheFields count="26">
    <cacheField name="EMR ID" numFmtId="0">
      <sharedItems/>
    </cacheField>
    <cacheField name="DESCRIPTION_OF_PROBLEM" numFmtId="166">
      <sharedItems longText="1"/>
    </cacheField>
    <cacheField name="STATUS" numFmtId="0">
      <sharedItems count="2">
        <s v="CLOSED"/>
        <s v="OPEN"/>
      </sharedItems>
    </cacheField>
    <cacheField name="PRIORITY" numFmtId="0">
      <sharedItems containsBlank="1"/>
    </cacheField>
    <cacheField name="REPORTED_BY" numFmtId="0">
      <sharedItems/>
    </cacheField>
    <cacheField name="ENTERED_BY" numFmtId="0">
      <sharedItems containsBlank="1"/>
    </cacheField>
    <cacheField name="DATE_REPORTED" numFmtId="14">
      <sharedItems containsSemiMixedTypes="0" containsNonDate="0" containsDate="1" containsString="0" minDate="2017-08-01T00:00:00" maxDate="2018-10-03T00:00:00" count="133">
        <d v="2017-08-01T00:00:00"/>
        <d v="2017-08-16T00:00:00"/>
        <d v="2017-08-17T00:00:00"/>
        <d v="2017-08-18T00:00:00"/>
        <d v="2017-08-22T00:00:00"/>
        <d v="2017-09-05T00:00:00"/>
        <d v="2017-09-06T00:00:00"/>
        <d v="2017-09-07T00:00:00"/>
        <d v="2017-09-11T00:00:00"/>
        <d v="2017-09-08T00:00:00"/>
        <d v="2017-09-12T00:00:00"/>
        <d v="2017-09-15T00:00:00"/>
        <d v="2017-09-19T00:00:00"/>
        <d v="2017-09-20T00:00:00"/>
        <d v="2017-10-25T00:00:00"/>
        <d v="2017-10-30T00:00:00"/>
        <d v="2017-11-06T00:00:00"/>
        <d v="2017-11-16T00:00:00"/>
        <d v="2017-11-30T00:00:00"/>
        <d v="2017-12-05T00:00:00"/>
        <d v="2017-12-01T00:00:00"/>
        <d v="2017-12-08T00:00:00"/>
        <d v="2017-12-06T00:00:00"/>
        <d v="2017-12-25T00:00:00"/>
        <d v="2017-12-22T00:00:00"/>
        <d v="2018-01-15T00:00:00"/>
        <d v="2018-01-23T00:00:00"/>
        <d v="2018-01-25T00:00:00"/>
        <d v="2018-01-26T00:00:00"/>
        <d v="2018-01-30T00:00:00"/>
        <d v="2018-01-31T00:00:00"/>
        <d v="2018-01-29T00:00:00"/>
        <d v="2018-02-01T00:00:00"/>
        <d v="2018-02-06T00:00:00"/>
        <d v="2018-02-07T00:00:00"/>
        <d v="2018-02-08T00:00:00"/>
        <d v="2018-02-09T00:00:00"/>
        <d v="2018-02-12T00:00:00"/>
        <d v="2018-02-13T00:00:00"/>
        <d v="2018-02-14T00:00:00"/>
        <d v="2018-02-15T00:00:00"/>
        <d v="2018-02-16T00:00:00"/>
        <d v="2018-02-19T00:00:00"/>
        <d v="2018-02-17T00:00:00"/>
        <d v="2018-02-20T00:00:00"/>
        <d v="2018-02-22T00:00:00"/>
        <d v="2018-02-26T00:00:00"/>
        <d v="2018-02-27T00:00:00"/>
        <d v="2018-02-28T00:00:00"/>
        <d v="2018-03-01T00:00:00"/>
        <d v="2018-03-05T00:00:00"/>
        <d v="2018-03-07T00:00:00"/>
        <d v="2018-03-13T00:00:00"/>
        <d v="2018-03-16T00:00:00"/>
        <d v="2018-03-15T00:00:00"/>
        <d v="2018-03-19T00:00:00"/>
        <d v="2018-03-21T00:00:00"/>
        <d v="2018-03-22T00:00:00"/>
        <d v="2018-03-20T00:00:00"/>
        <d v="2018-03-23T00:00:00"/>
        <d v="2018-03-26T00:00:00"/>
        <d v="2018-03-29T00:00:00"/>
        <d v="2018-04-03T00:00:00"/>
        <d v="2018-04-05T00:00:00"/>
        <d v="2018-04-06T00:00:00"/>
        <d v="2018-03-30T00:00:00"/>
        <d v="2018-04-16T00:00:00"/>
        <d v="2018-04-17T00:00:00"/>
        <d v="2018-04-18T00:00:00"/>
        <d v="2018-04-19T00:00:00"/>
        <d v="2018-04-20T00:00:00"/>
        <d v="2018-04-24T00:00:00"/>
        <d v="2018-04-25T00:00:00"/>
        <d v="2018-04-26T00:00:00"/>
        <d v="2018-04-27T00:00:00"/>
        <d v="2018-05-02T00:00:00"/>
        <d v="2018-05-03T00:00:00"/>
        <d v="2018-05-04T00:00:00"/>
        <d v="2018-05-07T00:00:00"/>
        <d v="2018-05-08T00:00:00"/>
        <d v="2018-05-11T00:00:00"/>
        <d v="2018-05-15T00:00:00"/>
        <d v="2018-05-17T00:00:00"/>
        <d v="2018-05-21T00:00:00"/>
        <d v="2018-05-22T00:00:00"/>
        <d v="2018-05-30T00:00:00"/>
        <d v="2018-06-01T00:00:00"/>
        <d v="2018-06-04T00:00:00"/>
        <d v="2018-06-08T00:00:00"/>
        <d v="2018-06-15T00:00:00"/>
        <d v="2018-06-22T00:00:00"/>
        <d v="2018-06-26T00:00:00"/>
        <d v="2018-06-29T00:00:00"/>
        <d v="2018-07-06T00:00:00"/>
        <d v="2018-07-11T00:00:00"/>
        <d v="2018-07-12T00:00:00"/>
        <d v="2018-07-13T00:00:00"/>
        <d v="2018-07-20T00:00:00"/>
        <d v="2018-07-24T00:00:00"/>
        <d v="2018-07-25T00:00:00"/>
        <d v="2018-07-26T00:00:00"/>
        <d v="2018-07-27T00:00:00"/>
        <d v="2018-07-31T00:00:00"/>
        <d v="2018-08-01T00:00:00"/>
        <d v="2018-08-02T00:00:00"/>
        <d v="2018-08-03T00:00:00"/>
        <d v="2018-08-06T00:00:00"/>
        <d v="2018-08-09T00:00:00"/>
        <d v="2018-08-10T00:00:00"/>
        <d v="2018-08-21T00:00:00"/>
        <d v="2018-08-22T00:00:00"/>
        <d v="2018-08-23T00:00:00"/>
        <d v="2018-08-24T00:00:00"/>
        <d v="2018-08-27T00:00:00"/>
        <d v="2018-08-28T00:00:00"/>
        <d v="2018-08-29T00:00:00"/>
        <d v="2018-08-30T00:00:00"/>
        <d v="2018-09-04T00:00:00"/>
        <d v="2018-09-05T00:00:00"/>
        <d v="2018-09-06T00:00:00"/>
        <d v="2018-09-07T00:00:00"/>
        <d v="2018-09-10T00:00:00"/>
        <d v="2018-09-12T00:00:00"/>
        <d v="2018-09-13T00:00:00"/>
        <d v="2018-09-14T00:00:00"/>
        <d v="2018-09-17T00:00:00"/>
        <d v="2018-09-19T00:00:00"/>
        <d v="2018-09-20T00:00:00"/>
        <d v="2018-09-24T00:00:00"/>
        <d v="2018-09-26T00:00:00"/>
        <d v="2018-09-28T00:00:00"/>
        <d v="2018-10-01T00:00:00"/>
        <d v="2018-10-02T00:00:00"/>
      </sharedItems>
      <fieldGroup base="6">
        <rangePr autoStart="0" autoEnd="0" groupBy="months" startDate="2018-01-01T00:00:00" endDate="2018-09-30T00:00:00"/>
        <groupItems count="14">
          <s v="&lt;1/1/2018"/>
          <s v="Jan"/>
          <s v="Feb"/>
          <s v="Mar"/>
          <s v="Apr"/>
          <s v="May"/>
          <s v="Jun"/>
          <s v="Jul"/>
          <s v="Aug"/>
          <s v="Sep"/>
          <s v="Oct"/>
          <s v="Nov"/>
          <s v="Dec"/>
          <s v="&gt;9/30/2018"/>
        </groupItems>
      </fieldGroup>
    </cacheField>
    <cacheField name="DATE_CLOSED" numFmtId="14">
      <sharedItems containsNonDate="0" containsDate="1" containsString="0" containsBlank="1" minDate="2017-08-22T00:00:00" maxDate="2018-09-29T00:00:00"/>
    </cacheField>
    <cacheField name="EMR_DURATION" numFmtId="0">
      <sharedItems containsString="0" containsBlank="1" containsNumber="1" minValue="0" maxValue="378.84"/>
    </cacheField>
    <cacheField name="LOCATION" numFmtId="0">
      <sharedItems containsBlank="1"/>
    </cacheField>
    <cacheField name="HCTC_BAY" numFmtId="0">
      <sharedItems containsBlank="1"/>
    </cacheField>
    <cacheField name="EQUIPMENT_ID" numFmtId="0">
      <sharedItems containsBlank="1"/>
    </cacheField>
    <cacheField name="EQUIPMENT_CLASSIFICATION" numFmtId="0">
      <sharedItems/>
    </cacheField>
    <cacheField name="MAKE" numFmtId="0">
      <sharedItems containsBlank="1"/>
    </cacheField>
    <cacheField name="MODEL_NUMBER" numFmtId="0">
      <sharedItems containsBlank="1"/>
    </cacheField>
    <cacheField name="SERIAL_NUMBER" numFmtId="0">
      <sharedItems containsBlank="1"/>
    </cacheField>
    <cacheField name="HOUR_METER" numFmtId="0">
      <sharedItems containsString="0" containsBlank="1" containsNumber="1" minValue="0" maxValue="5109"/>
    </cacheField>
    <cacheField name="COUNTER" numFmtId="0">
      <sharedItems containsString="0" containsBlank="1" containsNumber="1" containsInteger="1" minValue="0" maxValue="0"/>
    </cacheField>
    <cacheField name="ASSIGNMENT" numFmtId="0">
      <sharedItems containsBlank="1"/>
    </cacheField>
    <cacheField name="CORRECTIVE_ACTION" numFmtId="0">
      <sharedItems containsBlank="1"/>
    </cacheField>
    <cacheField name="FAILURE_MODE" numFmtId="14">
      <sharedItems containsBlank="1"/>
    </cacheField>
    <cacheField name="PRIMARY_ CAUSE" numFmtId="0">
      <sharedItems containsBlank="1"/>
    </cacheField>
    <cacheField name="ACTION_TAKEN" numFmtId="0">
      <sharedItems longText="1"/>
    </cacheField>
    <cacheField name="TEST_IMPACT" numFmtId="0">
      <sharedItems containsBlank="1"/>
    </cacheField>
    <cacheField name="TEST_PLAN" numFmtId="0">
      <sharedItems containsBlank="1"/>
    </cacheField>
    <cacheField name="CONTRAINTS" numFmtId="0">
      <sharedItems containsBlank="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21">
  <r>
    <s v="EMR-206"/>
    <s v="PPC does not respond to command."/>
    <x v="0"/>
    <s v="2"/>
    <s v="Jimmie Dowd"/>
    <s v="Jimmie Dowd"/>
    <x v="0"/>
    <d v="2017-09-15T00:00:00"/>
    <n v="45"/>
    <s v="CELL18"/>
    <s v="Medium Bay"/>
    <s v="Z1E-PPC"/>
    <s v="Proportional Pressure Controller"/>
    <s v="MAC"/>
    <s v="None"/>
    <s v="None"/>
    <n v="0"/>
    <n v="0"/>
    <s v="CAE"/>
    <s v="Serviceable – Repair (In-House)"/>
    <s v="Unknown"/>
    <s v="Component Defect"/>
    <s v="Pending. DO NOT USE PORT E for test._x000d__x000a_9/15/2017: Removed and replaced the PPC. Defective PPC removed from service. Port E is operational."/>
    <s v="Potential Impact"/>
    <s v="N/A"/>
    <s v="Unable to vent Port E thru Zone 1 or Zone 2 Vent lines."/>
  </r>
  <r>
    <s v="EMR-207"/>
    <s v="Heater wires are broken off from the heater terminals. Nuts securing the heating elements are loose. "/>
    <x v="0"/>
    <s v="2"/>
    <s v="Jimmie Dowd"/>
    <s v="Jimmie Dowd"/>
    <x v="1"/>
    <d v="2017-12-12T00:00:00"/>
    <n v="118"/>
    <s v="Temperature Control Unit (mobile)"/>
    <s v="N/A"/>
    <s v="Russells Unit-1"/>
    <s v="Temperature Control Unit"/>
    <m/>
    <m/>
    <m/>
    <n v="0"/>
    <n v="0"/>
    <s v="Russells Technical Products, Inc."/>
    <s v="SERVICABLE – REPAIR (contractor)"/>
    <s v="Electrical (Heaters)"/>
    <s v="Component Defect"/>
    <s v="Wires will need to be reattached. A more robust method of attaching the wires needs to be implemented._x000d__x000a_An EQUIPMENT MALFUNCTION REPORT( EMR-208 ) has been Updated for: Russells Unit-3 (STATUS: OPEN)_x000d__x000a__x000d__x000a_12/12/17: _x000d__x000a_Oscar from (Houston North) installed replacement heaters. _x000d__x000a_Heater model number 3-32-4702-2 from Heat and Sensor Technologies, LLC.  _x000d__x000a_Specs: .315&quot; diameter tubular, 240V, 4000 W. _x000d__x000a_EMR to remain open until the unit is tested. (following power cable and plug installation)_x000d__x000a_1/03/18: Bob Frenzel completed the Equipment Start-up Checklist for Russells Unit #1. The unit is operational. EMR-207 is Closed."/>
    <s v="Off Test"/>
    <s v="N/A"/>
    <m/>
  </r>
  <r>
    <s v="EMR-208"/>
    <s v="Heater wires are broken off from the heater terminals. Nuts securing the heating elements are loose."/>
    <x v="0"/>
    <m/>
    <s v="Dale Pomeroy"/>
    <m/>
    <x v="2"/>
    <d v="2018-01-03T00:00:00"/>
    <n v="139"/>
    <s v="Temperature Control Unit (mobile)"/>
    <s v="Medium Bay"/>
    <s v="Russells Unit-3"/>
    <s v="Temperature Control Unit"/>
    <m/>
    <m/>
    <m/>
    <n v="0"/>
    <m/>
    <s v="Russells Technical Products, Inc."/>
    <s v="SERVICABLE – REPAIR (contractor)"/>
    <s v="Electrical (Heaters)"/>
    <s v="Component Defect"/>
    <s v="Wires will need to be reattached. A more robust method of attaching the wires needs to be implemented._x000d__x000a_12/12/18: Oscar from (Houston North) installed replacement heaters. Heater model number 3-32-4702-2 from Heat and Sensor Technologies, LLC.  Specs: .315&quot; diameter tubular, 240V, 4000 W. EMR to remain open until the unit is tested. _x000d__x000a_01/02/2018: Bob Frenzel completed the Equipment Start-up Checklist for Russells Unit #3. The unit is operational. EMR-208 is Closed."/>
    <s v="Off Test"/>
    <m/>
    <m/>
  </r>
  <r>
    <s v="EMR-209"/>
    <s v="Unable to locate the cable for Z3-LQD-PT1. The identification is: 7-AI6"/>
    <x v="0"/>
    <m/>
    <s v="Jimmie Dowd"/>
    <m/>
    <x v="1"/>
    <d v="2017-08-22T00:00:00"/>
    <n v="6"/>
    <s v="CELL20"/>
    <s v="Medium Bay"/>
    <s v="Z3-LQD-PT1"/>
    <s v="Pressure Transducer"/>
    <m/>
    <m/>
    <m/>
    <m/>
    <m/>
    <s v="CAE"/>
    <s v="SERVICABLE – REPAIR (contractor)"/>
    <m/>
    <s v="INSTALLATION ERROR"/>
    <s v="Corrective action assigned to CAE for the week of 8/21/2017. _x000d__x000a_8/22/17: Cable 7-AI6 installed."/>
    <s v="Stopped Test"/>
    <m/>
    <s v="Required for Pump control. Unable to use Manifold until corrective action is taken."/>
  </r>
  <r>
    <s v="EMR-210"/>
    <s v="Continous venting or leak thru the pilot supply port. This failure occurred on initial use. "/>
    <x v="0"/>
    <m/>
    <s v="Dale Pomeroy"/>
    <m/>
    <x v="1"/>
    <d v="2017-08-22T00:00:00"/>
    <n v="6"/>
    <s v="CELL20"/>
    <s v="Medium Bay"/>
    <s v="GB Shop Air Regulator"/>
    <s v="Pressure Regulator"/>
    <m/>
    <m/>
    <m/>
    <m/>
    <m/>
    <m/>
    <s v="SERVICABLE – REPAIR (contractor)"/>
    <s v="PNEUMATIC (leaks, valves, seals, etc.)"/>
    <s v="OPERATOR ERROR"/>
    <s v="The regulator needs to be repaired or replaced. (removed and replaced with the gas booster regulator from CELL08 to resume Test Plan 102-17.)_x000d__x000a_8/22/17: Regulator was installed with the ports reversed. Regulator re-installed correctly. Unit operational."/>
    <s v="Stopped Test"/>
    <m/>
    <s v="Unable to supply high pressure Nitrogen to the Manifold. "/>
  </r>
  <r>
    <s v="EMR-211"/>
    <s v="Liquid Bypass valve solenoid is controlling the Z3-Z1 Gas Valve. This appears to be a wiring interface issue."/>
    <x v="0"/>
    <m/>
    <s v="Jimmie Dowd"/>
    <m/>
    <x v="1"/>
    <d v="2017-08-22T00:00:00"/>
    <n v="6"/>
    <s v="CELL20"/>
    <s v="Medium Bay"/>
    <s v="Liquid Bypass"/>
    <s v="Solenoid"/>
    <m/>
    <m/>
    <m/>
    <m/>
    <m/>
    <m/>
    <s v="SERVICABLE – REPAIR (contractor)"/>
    <m/>
    <s v="INSTALLATION ERROR"/>
    <s v="CAE needs to correct the wiring interface for these two valves._x000d__x000a_8/22/17: Actuator supply lines where incorrectly installed. The lines have been installed in correctly locations. Valves operating correctly. "/>
    <s v="Stopped Test"/>
    <m/>
    <m/>
  </r>
  <r>
    <s v="EMR-212"/>
    <s v="The manifold shop air supply quick dump valve does not open. Unable to supply shop air to the manifold. "/>
    <x v="0"/>
    <m/>
    <s v="Dale Pomeroy"/>
    <m/>
    <x v="3"/>
    <d v="2017-08-22T00:00:00"/>
    <n v="4"/>
    <s v="CELL19"/>
    <s v="Medium Bay"/>
    <s v="Shop Air Supply Dump Valve"/>
    <s v="Shop Air Supply Valve"/>
    <m/>
    <m/>
    <m/>
    <m/>
    <m/>
    <m/>
    <s v="NOT SERVICABLE-REPLACE"/>
    <s v="FAILED SOLENOID "/>
    <s v="Component Defect"/>
    <s v="CAE to troubleshoot and repair/replace. Possible wiring issue. It appears the wires for the valve solenoid do not terminate in the control box as shown on the electrical prints._x000d__x000a_8/22/17: Defective solenoid. Removed and replaced with solenoid from CELL8. Solenoid to be ordered by CAE."/>
    <s v="Stopped Test"/>
    <m/>
    <m/>
  </r>
  <r>
    <s v="EMR-213"/>
    <s v="Contacts are not engaging."/>
    <x v="0"/>
    <m/>
    <s v="Anthony Ramos"/>
    <m/>
    <x v="4"/>
    <d v="2017-08-22T00:00:00"/>
    <n v="0"/>
    <s v="CELL20"/>
    <s v="Medium Bay"/>
    <s v="Operator Key Switch"/>
    <s v="Control Console"/>
    <m/>
    <m/>
    <m/>
    <m/>
    <m/>
    <m/>
    <s v="NOT SERVICABLE-REPLACE"/>
    <s v="ELECTRICAL (Controls)"/>
    <s v="Component Defect"/>
    <s v="Key is defective. Removed and replaced with key switch from CELL7. "/>
    <s v="Delayed Test"/>
    <m/>
    <m/>
  </r>
  <r>
    <s v="EMR-214"/>
    <s v="Pump muffler not installed. "/>
    <x v="0"/>
    <s v="2"/>
    <s v="Dale Pomeroy"/>
    <s v="Jimmie Dowd"/>
    <x v="5"/>
    <d v="2017-09-06T00:00:00"/>
    <n v="1"/>
    <s v="CELL19"/>
    <s v="Medium Bay"/>
    <s v="P5"/>
    <s v="Hydraulic Pump"/>
    <s v="Parker Autoclave Engineers"/>
    <s v="ASL400-01SNP"/>
    <m/>
    <n v="0"/>
    <n v="0"/>
    <m/>
    <s v="SERVICABLE – REPAIR (in-house)"/>
    <s v="N/A-No Failure"/>
    <s v="INSTALLATION ERROR"/>
    <s v="Pump muffler cannibalized from Pump 5 in CELL7."/>
    <s v="No Test Impact "/>
    <s v="N/A"/>
    <m/>
  </r>
  <r>
    <s v="EMR-215"/>
    <s v="Muffler cannibalized from Pump 5 in CELL7 to use in CELL19."/>
    <x v="0"/>
    <s v="2"/>
    <s v="Dale Pomeroy"/>
    <s v="Jimmie Dowd"/>
    <x v="5"/>
    <d v="2017-09-25T00:00:00"/>
    <n v="20"/>
    <s v="CELL7"/>
    <s v="Medium Bay"/>
    <s v="P5"/>
    <s v="Hydraulic Pump"/>
    <s v="Parker Autoclave Engineers"/>
    <s v="ASL400-01SNP"/>
    <s v="N/A"/>
    <n v="0"/>
    <n v="0"/>
    <s v="HCTC Systems Group"/>
    <s v="Component Replaced"/>
    <s v="N/A-No Failure"/>
    <s v="Cannibalized"/>
    <s v="Pump 5 Muffler needs to be replaced._x000d__x000a_Muffler replaced week of 9/18/17. "/>
    <s v="N/A-Not Applicable"/>
    <s v="N/A"/>
    <s v="External pump required for pressures &gt;38 KSI"/>
  </r>
  <r>
    <s v="EMR-216"/>
    <s v="Bunker Door motor/latch does not actuate.  "/>
    <x v="0"/>
    <m/>
    <s v="Anthony Ramos"/>
    <m/>
    <x v="6"/>
    <d v="2017-09-07T00:00:00"/>
    <n v="1"/>
    <s v="CELL21"/>
    <s v="Medium Bay"/>
    <s v="Bunker Door"/>
    <s v="HSE System"/>
    <m/>
    <m/>
    <m/>
    <m/>
    <m/>
    <m/>
    <s v="SERVICABLE – REPAIR (in-house)"/>
    <s v="ELECTRICAL (Controls)"/>
    <s v="INSTALLATION ERROR"/>
    <s v="9/7/2017: Door proximity sensors were not set. The proximity sensors adjusted. Door motor/latch is operational._x000d__x000a_"/>
    <s v="Delayed Test"/>
    <m/>
    <m/>
  </r>
  <r>
    <s v="EMR-217"/>
    <s v="Digital outputs controlling the PIV solenoids and the BMIV solenoids are incorrectly wired. As a result, valves are not actuating on thier assigned channels."/>
    <x v="0"/>
    <m/>
    <s v="Anthony Ramos"/>
    <m/>
    <x v="6"/>
    <d v="2018-01-11T00:00:00"/>
    <n v="127"/>
    <s v="CELL21"/>
    <s v="Medium Bay"/>
    <s v="Digital Interface"/>
    <s v="System I/O"/>
    <m/>
    <m/>
    <m/>
    <m/>
    <m/>
    <m/>
    <s v="SERVICABLE – REPAIR (contractor)"/>
    <s v="ELECTRICAL (Controls)"/>
    <s v="INSTALLATION ERROR"/>
    <s v="9/7/2017: With the help of John Amstadt (Erdosmiller) the wires were rerouted to the appropiate locations. The labels were updated on the bunker connector cables B5 and B7. CAE must update the remaining labels on the bunker connector panels and in the  bunker side control box. The EMR will remain open until the re-labeling is complete. "/>
    <s v="Stopped Test"/>
    <m/>
    <m/>
  </r>
  <r>
    <s v="EMR-218"/>
    <s v="PIV and BMIV solenoids not responding to commands. "/>
    <x v="0"/>
    <m/>
    <s v="Anthony Ramos"/>
    <m/>
    <x v="6"/>
    <d v="2018-01-11T00:00:00"/>
    <n v="127"/>
    <s v="CELL22"/>
    <s v="Medium Bay"/>
    <s v="Digital Interface"/>
    <s v="System I/O"/>
    <m/>
    <m/>
    <m/>
    <m/>
    <m/>
    <m/>
    <s v="TBD"/>
    <s v="TBD"/>
    <s v="TBD"/>
    <s v="Trouble shooting in-work"/>
    <s v="Stopped Test"/>
    <m/>
    <m/>
  </r>
  <r>
    <s v="EMR-219"/>
    <s v="The power switch on Cell 21’s motor enclosure is backwards. Off turns on power, and On turns off power. "/>
    <x v="0"/>
    <m/>
    <s v="John Amstadt (Erdosmiller)"/>
    <m/>
    <x v="7"/>
    <d v="2017-09-14T00:00:00"/>
    <n v="7"/>
    <s v="CELL21"/>
    <s v="Medium Bay"/>
    <s v="Latch Motor Power Switch"/>
    <s v="Electrical Power"/>
    <m/>
    <m/>
    <m/>
    <m/>
    <m/>
    <s v="CAE"/>
    <s v="SERVICABLE – REPAIR (contractor)"/>
    <s v="ELECTRICAL (Power)"/>
    <s v="INSTALLATION ERROR"/>
    <s v="CAE needs to re-wire the power switch._x000d__x000a_9/14/17: The label has been rotated on the switch to reflect the correct switch. Re-wiring not required._x000d__x000a_"/>
    <s v="Delayed Test"/>
    <m/>
    <m/>
  </r>
  <r>
    <s v="EMR-220"/>
    <s v="Digital outputs on Cell 22 cannot be actuated while the manifold or bunker door is open._x000d__x000a_a._x0009_This appears to be correct behavior according to the schematics, however, none of the other bunkers have the same behavior._x000d__x000a_"/>
    <x v="0"/>
    <m/>
    <s v="John Amstadt (Erdosmiller)"/>
    <m/>
    <x v="7"/>
    <d v="2018-01-11T00:00:00"/>
    <n v="126"/>
    <s v="CELL22"/>
    <s v="Medium Bay"/>
    <s v="Digital Interface"/>
    <s v="System I/O"/>
    <m/>
    <m/>
    <m/>
    <m/>
    <m/>
    <s v="CAE"/>
    <s v="SERVICABLE – REPAIR (contractor)"/>
    <s v="ELECTRICAL (Controls)"/>
    <s v="INSTALLATION ERROR"/>
    <s v="CAE to verify functionality. "/>
    <s v="Delayed Test"/>
    <m/>
    <m/>
  </r>
  <r>
    <s v="EMR-221"/>
    <s v="Cell 22’s executive override key cannot be turned to the on/active position. The override is not functional. Unable to verify HSE functions with the key inoperative."/>
    <x v="0"/>
    <m/>
    <s v="John Amstadt"/>
    <m/>
    <x v="7"/>
    <d v="2017-09-15T00:00:00"/>
    <n v="8"/>
    <s v="CELL22"/>
    <s v="Medium Bay"/>
    <s v="Executive Override Key"/>
    <s v="HSE System"/>
    <m/>
    <m/>
    <m/>
    <m/>
    <m/>
    <s v="CAE"/>
    <s v="SERVICABLE – REPAIR (contractor)"/>
    <s v="MECHANICAL"/>
    <s v="INSTALLATION ERROR"/>
    <s v="CAE to repair the executive override key. _x000d__x000a_9/14/17: Realigned tumbler. Key is operational."/>
    <s v="Delayed Test"/>
    <m/>
    <m/>
  </r>
  <r>
    <s v="EMR-222"/>
    <s v="Valve actuates but not receiving feedback (position) indication on the HMI."/>
    <x v="0"/>
    <m/>
    <s v="Chris Goodwater"/>
    <m/>
    <x v="8"/>
    <d v="2017-09-14T00:00:00"/>
    <n v="3"/>
    <s v="CELL21"/>
    <s v="Medium Bay"/>
    <s v="MSV-1"/>
    <s v="Motorized Valve Assembly"/>
    <m/>
    <m/>
    <m/>
    <m/>
    <m/>
    <m/>
    <s v="SERVICABLE – REPAIR (in-house)"/>
    <s v="SOFTWARE ANOMALY"/>
    <s v="OPERATING BEYOND DESIGN LIMITS"/>
    <s v="Troubleshooting In-Work_x000d__x000a_9/13/2017: Adjusted the offset and span."/>
    <s v="Delayed Test"/>
    <m/>
    <m/>
  </r>
  <r>
    <s v="EMR-223"/>
    <s v="Z2G-PPC not working. Lights change but not actuating."/>
    <x v="0"/>
    <m/>
    <s v="Chris Goodwater"/>
    <m/>
    <x v="8"/>
    <d v="2017-09-15T00:00:00"/>
    <n v="4"/>
    <s v="CELL21"/>
    <s v="Medium Bay"/>
    <s v="Z2G-PPC"/>
    <s v="Proportional Pressure Controller"/>
    <m/>
    <m/>
    <m/>
    <m/>
    <m/>
    <m/>
    <s v="SERVICABLE – REPAIR (contractor)"/>
    <s v="Unknown"/>
    <s v="Component Defect"/>
    <s v="Troubleshooting. Possibly defective PPC._x000d__x000a_CAE to investigate and R&amp;R as needed._x000d__x000a_9/14/17: Replaced the PPC. Problem resolved."/>
    <s v="Delayed Test"/>
    <m/>
    <m/>
  </r>
  <r>
    <s v="EMR-224"/>
    <s v="Pump #2 outlet check valve not working. "/>
    <x v="0"/>
    <m/>
    <s v="Chris Goodwater"/>
    <m/>
    <x v="9"/>
    <d v="2017-09-12T00:00:00"/>
    <n v="4"/>
    <s v="CELL21"/>
    <s v="Medium Bay"/>
    <s v="P2"/>
    <s v="Hydraulic Pump"/>
    <m/>
    <m/>
    <m/>
    <m/>
    <m/>
    <m/>
    <s v="NOT SERVICABLE-REPLACE"/>
    <s v="HYDRAULIC (leaks, valves, seals, etc.)"/>
    <s v="Component Defect"/>
    <s v="Cannibalized check valve from CELL8. "/>
    <s v="Delayed Test"/>
    <m/>
    <s v="Use Pump P3"/>
  </r>
  <r>
    <s v="EMR-225"/>
    <s v="Cannibalized Pump #2 Check Valve to use in CELL21. "/>
    <x v="0"/>
    <m/>
    <s v="Chris Goodwater"/>
    <m/>
    <x v="8"/>
    <d v="2018-01-26T00:00:00"/>
    <n v="137"/>
    <s v="CELL8"/>
    <s v="Medium Bay"/>
    <s v="P2"/>
    <s v="Hydraulic Pump"/>
    <m/>
    <m/>
    <m/>
    <m/>
    <m/>
    <m/>
    <s v="OTHER"/>
    <m/>
    <s v="Cannibalized"/>
    <s v="Pump #2 Check Valve must be replaced in CELL8. _x000d__x000a_1/25/18: Check valve replaced._x000d__x000a_"/>
    <m/>
    <m/>
    <s v="Use Pump P3"/>
  </r>
  <r>
    <s v="EMR-226"/>
    <s v="Valve on Port F was leaking at the stem. "/>
    <x v="0"/>
    <m/>
    <s v="Chris Goodwater"/>
    <m/>
    <x v="8"/>
    <d v="2017-09-12T00:00:00"/>
    <n v="1"/>
    <s v="CELL21"/>
    <s v="Medium Bay"/>
    <s v="Z1F-PIV"/>
    <s v="Pneumatic Valve Assembly"/>
    <m/>
    <m/>
    <m/>
    <m/>
    <m/>
    <m/>
    <s v="NOT SERVICABLE-REPLACE"/>
    <s v="HYDRAULIC (leaks, valves, seals, etc.)"/>
    <s v="Component Defect"/>
    <s v="Cannibalized valve assembly from Port F on CELL8. "/>
    <s v="Delayed Test"/>
    <m/>
    <m/>
  </r>
  <r>
    <s v="EMR-227"/>
    <s v="Cannibalized Port F PIV valve assembly for use on CELL21. (reference EMR-226)"/>
    <x v="0"/>
    <m/>
    <s v="Chris Goodwater"/>
    <m/>
    <x v="8"/>
    <d v="2018-01-26T00:00:00"/>
    <n v="137"/>
    <s v="CELL8"/>
    <s v="Medium Bay"/>
    <s v="Z1F-PIV"/>
    <s v="Pneumatic Valve Assembly"/>
    <m/>
    <m/>
    <m/>
    <m/>
    <m/>
    <m/>
    <s v="SERVICABLE – REPAIR (contractor)"/>
    <m/>
    <s v="Cannibalized"/>
    <s v="Replace Port F PIV valve assembly on CELL8. _x000d__x000a_1/25/18: replaced."/>
    <m/>
    <m/>
    <m/>
  </r>
  <r>
    <s v="EMR-228"/>
    <s v="Possible short resulting in significant damage to wiring terminals. _x000d__x000a_This failure occurred during the temperature swings of Test Plan 103-17."/>
    <x v="0"/>
    <s v="2"/>
    <s v="Chris Goodwater"/>
    <s v="Jimmie Dowd"/>
    <x v="10"/>
    <d v="2018-03-30T00:00:00"/>
    <n v="199"/>
    <s v="Temperature Control Unit (mobile)"/>
    <s v="N/A"/>
    <s v="Russells Unit-2"/>
    <s v="Temperature Control Unit"/>
    <m/>
    <m/>
    <m/>
    <n v="43"/>
    <n v="0"/>
    <s v="Russells Technical Products, Inc."/>
    <s v="SERVICABLE – REPAIR (contractor)"/>
    <s v="ELECTRICAL (Power)"/>
    <s v="Component Defect"/>
    <s v="12/12/17 From Oscar Hernandez (Houston North): _x000d__x000a_Chamber #2 will need 3 more heaters and also power terminal blocks need to be replaced ,to be addressed to russells since units still under warranty._x000d__x000a__x000d__x000a_2/28/2018: Oscar Hernandez (Houston North) replaced the heaters. Unit checked out ok. EMR is Closed._x000d__x000a_3/2/2018: Unit did not check out ok as indicated on 2/28/2018. The following issues were found: _x000d__x000a_We powered up the unit and found a couple of issues._x000d__x000a_1. The heaters are on when the control system is off._x000d__x000a_2. The motor does not run either direction._x000d__x000a_3/29/2018: Repairs and check-out completed. Unit is operational. EMR Closed."/>
    <s v="Off Test"/>
    <s v="N/A"/>
    <m/>
  </r>
  <r>
    <s v="EMR-229"/>
    <s v="Watlow controller is not installed."/>
    <x v="0"/>
    <s v="2"/>
    <s v="Jimmie Dowd"/>
    <m/>
    <x v="11"/>
    <d v="2018-04-26T00:00:00"/>
    <n v="223"/>
    <s v="Temperature Control Unit (mobile)"/>
    <s v="Medium Bay"/>
    <s v="Bemco Unit -4"/>
    <s v="Temperature Control Unit"/>
    <m/>
    <m/>
    <m/>
    <n v="3013.4"/>
    <m/>
    <s v="HCTC Systems Group"/>
    <s v="SERVICABLE – REPAIR (in-house)"/>
    <m/>
    <s v="MODIFICATION or UPGRADE"/>
    <s v="Watlow controller required. _x000d__x000a_4/26/18: Watlow controller installed. Additional items may be required and will be captured in another EMR._x000d__x000a_"/>
    <s v="Off Test"/>
    <m/>
    <m/>
  </r>
  <r>
    <s v="EMR-230"/>
    <s v="Pump P3 does not function.  The pump functioned with no issues previously (TP102-17)."/>
    <x v="1"/>
    <s v="2"/>
    <s v="Chris Goodwater"/>
    <s v="Jimmie Dowd"/>
    <x v="12"/>
    <m/>
    <n v="378.84"/>
    <s v="CELL20"/>
    <s v="Medium Bay"/>
    <s v="P3"/>
    <s v="Hydraulic Pump"/>
    <s v="Parker Autoclave Engineers"/>
    <s v=" "/>
    <m/>
    <n v="0"/>
    <n v="0"/>
    <s v="HCTC Maintenance"/>
    <s v="Serviceable – Repair (In-House)"/>
    <s v="HYDRAULIC (leaks, valves, seals, etc.)"/>
    <s v="TBD"/>
    <s v="Pump maintenance training class is scheduled for the month of September. The class is to be conducted by Parker's product manager, Shawn Landry. The training class will include maintenance on this pump. "/>
    <s v="Minimal"/>
    <s v="N/A"/>
    <s v="Use Pump P4"/>
  </r>
  <r>
    <s v="EMR-231"/>
    <s v="Manifold door safety interlock is not functioning. Receiving an indication on the HMI that the manifold room door is not locked (key engaged) when the key is engaged. As a result, the pumps are inhibited and unable to provide pressure to the manifold. _x000d__x000a_The Manifold Room Safety Interlock worked previously during TP102-17 for CELL16 back in August._x000d__x000a__x000d__x000a_CELL16 is Not Operational."/>
    <x v="0"/>
    <m/>
    <s v="Chris Goodwater"/>
    <m/>
    <x v="13"/>
    <d v="2017-11-01T00:00:00"/>
    <n v="42"/>
    <s v="CELL16"/>
    <s v="Medium Bay"/>
    <s v="Manifold Room Door"/>
    <s v="HSE System"/>
    <m/>
    <m/>
    <m/>
    <m/>
    <m/>
    <m/>
    <s v="SERVICABLE – REPAIR (in-house)"/>
    <s v="ELECTRICAL (Controls)"/>
    <s v="INSTALLATION ERROR"/>
    <s v="Wiring was corrected by John Amstadt. "/>
    <s v="Stopped Test"/>
    <m/>
    <m/>
  </r>
  <r>
    <s v="EMR-232"/>
    <s v="Two issues:_x000d__x000a_-system reboots whenever a USB drive is inserted._x000d__x000a_-system occasionally (auto) reboots following power-up. The PC power supply is suspect."/>
    <x v="0"/>
    <m/>
    <s v="John Amstadt (Erdosmiller)"/>
    <m/>
    <x v="14"/>
    <d v="2018-02-15T00:00:00"/>
    <n v="113"/>
    <s v="CELL22"/>
    <s v="Medium Bay"/>
    <s v="Console Computer"/>
    <s v="Control Console"/>
    <m/>
    <m/>
    <m/>
    <m/>
    <m/>
    <s v="HCTC Systems Group"/>
    <s v="NONE: Continued Use as Is"/>
    <s v="COMPUTER ANOMALY"/>
    <s v="Component Defect"/>
    <s v="11/16/17: Vendor (Stealth.com) suggested repeating the failure to isolate root cause. Attempts to repeat the anomaly were not successful. Gathered information from the Windows event logger at the time of the last reboot event. Will send that info to the vendor for review. According to the event logs the PC has been on for &gt;7 days (since 11/9/17) without a sudden power loss or reboot. Troubleshooting still in-work. _x000d__x000a__x000d__x000a_2/15/2018: No other occurrences reported. EMR Closed._x000d__x000a_"/>
    <s v="Delayed Test"/>
    <m/>
    <s v="PC anomalies may result in loss of manifold control and loss of data visibility."/>
  </r>
  <r>
    <s v="EMR-233"/>
    <s v="PPC not providing pressure output. _x000d__x000a_This is a recently installed (October, 2017) 150 psi model PPC.  _x000d__x000a_"/>
    <x v="0"/>
    <m/>
    <s v="Glen Tyler"/>
    <m/>
    <x v="15"/>
    <d v="2018-02-15T00:00:00"/>
    <n v="108"/>
    <s v="CELL21"/>
    <s v="Medium Bay"/>
    <s v="Z3-LQD-PPC1"/>
    <s v="Proportional Pressure Controller"/>
    <m/>
    <m/>
    <m/>
    <m/>
    <m/>
    <s v="HCTC Systems Group"/>
    <s v="TBD"/>
    <s v="Unknown"/>
    <s v="TBD"/>
    <s v="PPC has been removed and replaced with spare PPC. _x000d__x000a_The defective PPC needs to be sent back to the MFR under warranty. CAE to check on warranty."/>
    <s v="Delayed Test"/>
    <m/>
    <s v="Unable to regulate hydrualic pumps"/>
  </r>
  <r>
    <s v="EMR-234"/>
    <s v="Memory leak."/>
    <x v="0"/>
    <s v="3"/>
    <s v="John Amstadt (Erdosmiller)"/>
    <s v="Jimmie Dowd"/>
    <x v="14"/>
    <d v="2018-02-28T00:00:00"/>
    <n v="126"/>
    <s v="CELLS (7-8)_(15-22)"/>
    <s v="Medium Bay"/>
    <s v="Console Computer"/>
    <s v="Control Console"/>
    <m/>
    <m/>
    <m/>
    <n v="0"/>
    <n v="0"/>
    <s v="John Amstadt (Erdosmiller)"/>
    <s v="Software Update"/>
    <s v="SOFTWARE ANOMALY"/>
    <s v="Software Anomaly"/>
    <s v="Watlow reconnects would allocate new memory to store profiles without deallocating previous memory. Modified software to re-use existing memory allocations._x000d__x000a_"/>
    <s v="N/A-Not Applicable"/>
    <s v="N/A"/>
    <s v="PC anomalies may result in loss of manifold control and loss of data visibility."/>
  </r>
  <r>
    <s v="EMR-235"/>
    <s v="Valve leaks when closed. Possible contamination."/>
    <x v="0"/>
    <s v="2"/>
    <s v="Anthony Ramos"/>
    <m/>
    <x v="16"/>
    <d v="2018-04-26T00:00:00"/>
    <n v="171"/>
    <s v="CELL17"/>
    <s v="Medium Bay"/>
    <s v="Z2H-PIV"/>
    <s v="Pneumatic Valve Assembly"/>
    <m/>
    <m/>
    <m/>
    <m/>
    <m/>
    <s v="HCTC Systems Group"/>
    <s v="TBD"/>
    <s v="TBD"/>
    <s v="TBD"/>
    <s v="Valve assembly (Z2H-PIV) removed and replaced with valve assembly from CELL8 (Z1A-PIV)._x000d__x000a__x000d__x000a_The valve assembly (Z2H-PIV) needs to be disassembled for inspection, cleaning or repair._x000d__x000a_4/26/18: Valve removed in November, 2017. Issue was addressed at that time._x000d__x000a__x000d__x000a__x000d__x000a_"/>
    <s v="Delayed Test"/>
    <m/>
    <m/>
  </r>
  <r>
    <s v="EMR-236"/>
    <s v="Valve assembly (Z1B-PIV) cannibalized for use on CELL17. Reference EMR 235."/>
    <x v="0"/>
    <m/>
    <s v="Jimmie Dowd"/>
    <m/>
    <x v="16"/>
    <d v="2018-02-15T00:00:00"/>
    <n v="101"/>
    <s v="CELL8"/>
    <s v="Medium Bay"/>
    <s v="Z1B-PIV"/>
    <s v="Pneumatic Valve Assembly"/>
    <m/>
    <m/>
    <m/>
    <m/>
    <m/>
    <s v="HCTC Systems Group"/>
    <m/>
    <m/>
    <s v="Cannibalized"/>
    <s v="Valve assembly (Z1B-PIV) cannibalized for use on CELL17. Reference EMR 235._x000d__x000a_Closed in late 2017."/>
    <m/>
    <m/>
    <m/>
  </r>
  <r>
    <s v="EMR-237"/>
    <s v="Power plug installation required to make compatible with the HCTC manifold room power receptacles._x000d__x000a_Crouse-Hinds APJ6485 3-Wire/4-Pole Arktite Heavy-Duty Circuit Breaking Plug. _x000d__x000a_The Russells Units are rated  for: FLA 32"/>
    <x v="0"/>
    <m/>
    <s v="Anthony Ramos"/>
    <m/>
    <x v="17"/>
    <d v="2017-12-05T00:00:00"/>
    <n v="19"/>
    <s v="Temperature Control Unit (mobile)"/>
    <s v="Medium Bay"/>
    <s v="Russells Unit-5"/>
    <s v="Temperature Control Unit"/>
    <m/>
    <m/>
    <m/>
    <m/>
    <m/>
    <m/>
    <s v="HARDWARE UPGRADE REQUIRED"/>
    <m/>
    <m/>
    <s v="11/17/2017:This work order was completed. "/>
    <m/>
    <m/>
    <m/>
  </r>
  <r>
    <s v="EMR-238"/>
    <s v="Power plug installation required to make compatible with the HCTC manifold room power receptacles._x000d__x000a_Crouse-Hinds APJ6485 3-Wire/4-Pole Arktite Heavy-Duty Circuit Breaking Plug. _x000d__x000a_The Russells Units are rated  for: FLA 32"/>
    <x v="0"/>
    <m/>
    <s v="Jimmie Dowd"/>
    <m/>
    <x v="17"/>
    <d v="2018-03-21T00:00:00"/>
    <n v="125"/>
    <s v="Temperature Control Unit (mobile)"/>
    <s v="Medium Bay"/>
    <s v="Russells Unit-6"/>
    <s v="Temperature Control Unit"/>
    <m/>
    <m/>
    <m/>
    <m/>
    <m/>
    <s v="HCTC Maintenance"/>
    <s v="HARDWARE UPGRADE REQUIRED"/>
    <m/>
    <s v="MODIFICATION or UPGRADE"/>
    <s v="Completed."/>
    <m/>
    <m/>
    <m/>
  </r>
  <r>
    <s v="EMR-239"/>
    <s v="Power plug installation required to make compatible with the HCTC manifold room power receptacles._x000d__x000a_Crouse-Hinds APJ6485 3-Wire/4-Pole Arktite Heavy-Duty Circuit Breaking Plug. _x000d__x000a_The Russells Units are rated  for: FLA 32 AMP"/>
    <x v="0"/>
    <m/>
    <s v="Jimmie Dowd"/>
    <m/>
    <x v="17"/>
    <d v="2018-03-21T00:00:00"/>
    <n v="125"/>
    <s v="Temperature Control Unit (mobile)"/>
    <s v="Medium Bay"/>
    <s v="Russells Unit-7"/>
    <s v="Temperature Control Unit"/>
    <m/>
    <m/>
    <m/>
    <m/>
    <m/>
    <s v="HCTC Maintenance"/>
    <s v="HARDWARE UPGRADE REQUIRED"/>
    <m/>
    <s v="MODIFICATION or UPGRADE"/>
    <s v="Completed."/>
    <m/>
    <m/>
    <m/>
  </r>
  <r>
    <s v="EMR-240"/>
    <s v="Power plug installation required to make compatible with the HCTC manifold room power receptacles._x000d__x000a_Crouse-Hinds APJ6485 3-Wire/4-Pole Arktite Heavy-Duty Circuit Breaking Plug. _x000d__x000a_The Russells Units are rated  for: FLA 32 AMP"/>
    <x v="0"/>
    <m/>
    <s v="Jimmie Dowd"/>
    <m/>
    <x v="17"/>
    <d v="2018-03-21T00:00:00"/>
    <n v="125"/>
    <s v="Temperature Control Unit (mobile)"/>
    <s v="Medium Bay"/>
    <s v="Russells Unit-8"/>
    <s v="Temperature Control Unit"/>
    <m/>
    <m/>
    <m/>
    <m/>
    <m/>
    <s v="HCTC Maintenance"/>
    <s v="HARDWARE UPGRADE REQUIRED"/>
    <m/>
    <s v="MODIFICATION or UPGRADE"/>
    <s v="Completed."/>
    <m/>
    <m/>
    <m/>
  </r>
  <r>
    <s v="EMR-241"/>
    <s v="480 vac wiring interface to Rotork Actuator._x000d__x000a_from Dennis Miller: We need some support wiring a Rotork Actuator to a 480 vac receptacle for an upcoming test.  "/>
    <x v="0"/>
    <m/>
    <s v="Dennis Miller"/>
    <m/>
    <x v="18"/>
    <d v="2018-02-15T00:00:00"/>
    <n v="77"/>
    <s v="CELL20"/>
    <s v="Medium Bay"/>
    <s v="480VAC Electrical Service"/>
    <s v="Electrical Service"/>
    <m/>
    <m/>
    <m/>
    <m/>
    <m/>
    <s v="HCTC Maintenance"/>
    <s v="System Modification"/>
    <m/>
    <s v="TEST REQUIREMENT"/>
    <s v="Closed in December 2017 or early January 2018"/>
    <s v="Delayed Test"/>
    <m/>
    <m/>
  </r>
  <r>
    <s v="EMR-242"/>
    <s v="Pump &amp; Dump code is not working. "/>
    <x v="0"/>
    <m/>
    <s v="Anthony Ramos"/>
    <m/>
    <x v="19"/>
    <d v="2018-02-15T00:00:00"/>
    <n v="72"/>
    <s v="CELL18"/>
    <s v="Medium Bay"/>
    <m/>
    <s v="System I/O"/>
    <m/>
    <m/>
    <m/>
    <m/>
    <m/>
    <s v="John Amstadt (Erdosmiller)"/>
    <s v="TBD"/>
    <s v="TBD"/>
    <s v="TBD"/>
    <s v="Erdosmiller notified._x000d__x000a_2/15/2018: Address by software update in Dec 2017. Closed."/>
    <s v="Stopped Test"/>
    <m/>
    <m/>
  </r>
  <r>
    <s v="EMR-243"/>
    <s v="Regulator does not vent. Failure occurred after approximately 1000 cycles."/>
    <x v="0"/>
    <m/>
    <s v="Chris Goodwater"/>
    <m/>
    <x v="20"/>
    <d v="2018-01-09T00:00:00"/>
    <n v="39"/>
    <s v="CELL15"/>
    <s v="Medium Bay"/>
    <s v="Tescom 30K Pressure Regulator"/>
    <s v="Pressure Regulator"/>
    <m/>
    <m/>
    <m/>
    <m/>
    <m/>
    <s v="Tescom"/>
    <s v="SERVICABLE – REPAIR (contractor)"/>
    <s v="HYDRAULIC (leaks, valves, seals, etc.)"/>
    <s v="COMPONENT WEAR &amp; TEAR"/>
    <s v="Regulator removed from manifold. Tescom and Hatfield &amp; Company have been notified. If under warranty, it will be shipped back for analysis and repair._x000d__x000a_12/8/17:The regulator has been shipped back to TESCOM for analysis and repair. The EMR will remain open until root cause and repair is complete._x000d__x000a_1/9/18:  Root cause from Emerson TIR RQF031: It appears the main valve experienced some sort of fatigue and/or quick impact which caused the connector_x000d__x000a_to break off of the main valve. This broken connector prevented the outlet to vent when outlet was above_x000d__x000a_set-point._x000d__x000a_Corrective actions: 17-4 main valve material was replaced with Nitronic 60 material. _x000d__x000a_"/>
    <s v="Delayed Test"/>
    <m/>
    <m/>
  </r>
  <r>
    <s v="EMR-244"/>
    <s v="Isolation valve broken."/>
    <x v="0"/>
    <m/>
    <s v="Chris Goodwater"/>
    <s v="Jimmie Dowd"/>
    <x v="19"/>
    <d v="2018-01-15T00:00:00"/>
    <n v="41"/>
    <s v="CELL17"/>
    <s v="Medium Bay"/>
    <s v="5K Accumulator Rack "/>
    <s v="Accumulators"/>
    <m/>
    <m/>
    <m/>
    <n v="0"/>
    <n v="0"/>
    <s v="Jimmie Dowd"/>
    <s v="HARDWARE UPGRADE REQUIRED"/>
    <s v="PNEUMATIC (leaks, valves, seals, etc.)"/>
    <s v="COMPONENT WEAR &amp; TEAR"/>
    <s v="Replacement valve required. _x000d__x000a_Information on valve body: Flutec, 5000 psi, KHB-25NPT-1314 11X_x000d__x000a_1/9/2018: Requisition submitted for replacement ball valve. (Stauff, 1&quot; Ball Valve, female NPT, rated 6000 psi)_x000d__x000a_1/15/2018: Five replacement valves received from Stauff valve distributer (Wilson Company). Accumuator valve to be replaced. The remaining spares will be kept in the Hyperbaric Chamber (HYP) cell since the HBC uses the same valve on its manifold. "/>
    <s v="Delayed Test"/>
    <s v="N/A"/>
    <m/>
  </r>
  <r>
    <s v="EMR-245"/>
    <s v="Camera PC not working."/>
    <x v="0"/>
    <s v="2"/>
    <s v="Dale Pomeroy"/>
    <s v="Jimmie Dowd"/>
    <x v="21"/>
    <d v="2018-02-06T00:00:00"/>
    <n v="60"/>
    <s v="CELL7"/>
    <s v="Medium Bay"/>
    <s v="Camera (Bunker)"/>
    <s v="Camera System"/>
    <m/>
    <m/>
    <m/>
    <n v="0"/>
    <n v="0"/>
    <s v="Jimmie Dowd"/>
    <s v="OTHER"/>
    <s v="Camera (no display)"/>
    <s v="Unknown"/>
    <s v="IT support may be required if it is a PC or network issue. _x000d__x000a_2/6/2018: EMR addressed sometime in December, 2017."/>
    <s v="Potential Impact"/>
    <s v="N/A"/>
    <m/>
  </r>
  <r>
    <s v="EMR-246"/>
    <s v="Bemco interface not working on the PC."/>
    <x v="0"/>
    <s v="2"/>
    <s v="Dale Pomeroy"/>
    <s v="Jimmie Dowd"/>
    <x v="21"/>
    <d v="2018-04-26T00:00:00"/>
    <n v="139"/>
    <s v="CELL7"/>
    <s v="Medium Bay"/>
    <s v="DAQ-CTRL System Serial Interface"/>
    <s v="DAQ-CTRL System I/O"/>
    <m/>
    <s v="None"/>
    <s v="None"/>
    <m/>
    <m/>
    <s v="John Amstadt (Erdosmiller)"/>
    <s v="Serviceable – Repair (In-House)"/>
    <s v="No communication (PC to TCU)"/>
    <s v="Failed RS-485 Serial Interface"/>
    <s v="Load resistor required on the RS-485 connection."/>
    <s v="Delayed Test"/>
    <s v="N/A"/>
    <m/>
  </r>
  <r>
    <s v="EMR-247"/>
    <s v="Frenzel: Bunker cRIO is losing communication with TCU under certain conditions.There have been at least 3 incidents of this on different bunkers._x000d__x000a_"/>
    <x v="0"/>
    <m/>
    <s v="Robert Frenzel"/>
    <m/>
    <x v="22"/>
    <d v="2018-02-15T00:00:00"/>
    <n v="71"/>
    <s v="CELLS (7-8)_(15-22)"/>
    <s v="Medium Bay"/>
    <m/>
    <s v="System I/O"/>
    <m/>
    <m/>
    <m/>
    <m/>
    <m/>
    <s v="Robert Frenzel"/>
    <s v="TBD"/>
    <s v="TBD"/>
    <s v="TBD"/>
    <s v="ErdosMiller has identified a communication conflict on the RS485 bus that may require reprogramming to resolve._x000d__x000a_Issue resolved. Closed._x000d__x000a_"/>
    <s v="Delayed Test"/>
    <m/>
    <m/>
  </r>
  <r>
    <s v="EMR-248"/>
    <s v="12-25-2017 (Dale): checked on test on Monday, 25 Dec. Both the temperature and pressure charts were reading the year December 31, 1903. Changed date on right side of chart first, then left side to get the current day only. It happened again when clicking on Autoscroll. _x000d__x000a_12-29-2017 (Dale): Had to reboot the computer because we were unable to manipulate graph."/>
    <x v="0"/>
    <s v="2"/>
    <s v="Dale Pomeroy"/>
    <s v="Jimmie Dowd"/>
    <x v="23"/>
    <d v="2018-02-15T00:00:00"/>
    <n v="52"/>
    <s v="CELL7"/>
    <s v="Medium Bay"/>
    <s v="Console Computer"/>
    <s v="Data Acquisition "/>
    <s v="TBD"/>
    <s v="TBD"/>
    <s v="N/A"/>
    <n v="0"/>
    <n v="0"/>
    <s v="John Amstadt (Erdosmiller)"/>
    <s v="Serviceable – Repair (Contractor)"/>
    <s v="Inaccurate Data Display"/>
    <s v="Failed Timestamp Synchronization (cRIO and PC)"/>
    <s v="8/23/18: Differences in cRIO and PC clocks. cRIO now provides all timestamps."/>
    <s v="Delayed Test"/>
    <s v="N/A"/>
    <m/>
  </r>
  <r>
    <s v="EMR-249"/>
    <s v="Battery pack/system (UPS) will not power up."/>
    <x v="0"/>
    <s v="2"/>
    <s v="Dale Pomeroy"/>
    <s v="Jimmie Dowd"/>
    <x v="24"/>
    <d v="2018-09-10T00:00:00"/>
    <n v="262"/>
    <s v="PTM1"/>
    <s v="High Bay"/>
    <s v="CAMDAQ -7"/>
    <s v="DAQ-CTRL System"/>
    <m/>
    <m/>
    <m/>
    <n v="0"/>
    <n v="0"/>
    <s v="Anthony Ramos"/>
    <s v="NOT SERVICABLE-REPLACE"/>
    <s v="ELECTRICAL (Power)"/>
    <s v="COMPONENT WEAR &amp; TEAR"/>
    <s v="1-2-2018 (Dowd): R&amp;R if troubleshooting does not correct the problem. Spare UPS is available for R&amp;R. (the spare UPS is in the Systems office.)_x000d__x000a__x000d__x000a_1-15-2018: UPS R&amp;R by Anthony Ramos. The failed UPS will be discarded. EMR-249 is Closed._x000d__x000a_"/>
    <s v="Delayed Test"/>
    <s v="N/A"/>
    <m/>
  </r>
  <r>
    <s v="EMR-250"/>
    <s v="(Bob Frenzel): cRIO will not connect to any TCU. Suspect bad serial I/O port on cRIO._x000d__x000a_Had good connection previous to incident where connection was lost to two TCUs at the same time. _x000d__x000a_Attempted to recover communication by restarting the TCUs and cRIO._x000d__x000a_Have not been able to connect to any TCU since._x000d__x000a_"/>
    <x v="0"/>
    <s v="2"/>
    <s v="Robert Frenzel"/>
    <s v="Jimmie Dowd"/>
    <x v="25"/>
    <d v="2018-04-26T00:00:00"/>
    <n v="101"/>
    <s v="CELL19"/>
    <s v="Medium Bay"/>
    <s v="DAQ-CTRL System Serial Interface"/>
    <s v="DAQ-CTRL System I/O"/>
    <m/>
    <s v="None"/>
    <s v="None"/>
    <n v="0"/>
    <n v="0"/>
    <s v="John Amstadt (Erdosmiller)"/>
    <s v="Serviceable – Repair (Contractor)"/>
    <s v="Failed RS-485 Serial Communication"/>
    <s v="Failed RS-485 Serial Interface"/>
    <s v=" 8/23/18: Load resistor required on the RS-485 connection."/>
    <s v="N/A-Not Applicable"/>
    <s v="N/A"/>
    <m/>
  </r>
  <r>
    <s v="EMR-251"/>
    <s v="(Dale Pomeroy): Had to shut down via task manager and reboot due to valves not operating. Graph also was blank._x000d__x000a_ After reboot, all valves seems of again."/>
    <x v="0"/>
    <s v="2"/>
    <s v="Dale Pomeroy"/>
    <s v="Jimmie Dowd"/>
    <x v="25"/>
    <d v="2018-06-13T00:00:00"/>
    <n v="149"/>
    <s v="CELL7"/>
    <s v="Medium Bay"/>
    <s v="DAQ-CTRL System Software"/>
    <s v="DAQ-CTRL System I/O"/>
    <m/>
    <s v="N/A"/>
    <s v="N/A"/>
    <m/>
    <m/>
    <s v="John Amstadt (Erdosmiller)"/>
    <s v="Serviceable – Repair (Contractor)"/>
    <s v="DAQ Software Hang"/>
    <s v="Unknown"/>
    <s v="8/23/18: No root cause known._x000a__x000d__x000a_"/>
    <s v="Partial Data Loss"/>
    <s v="N/A"/>
    <m/>
  </r>
  <r>
    <s v="EMR-252"/>
    <s v="Removed (cannibalized) ALL Pressure control transducers (4-20mA) from the manifold for installation on CELL8 manifold. The sensors are required for CELL8 SIT. They will be re-installed at CELL22 after the completion of the CELL8 SIT._x000d__x000a__x000d__x000a_CELL 22 IS NOT OPERATIONAL."/>
    <x v="0"/>
    <s v="TBD"/>
    <s v="Jimmie Dowd"/>
    <m/>
    <x v="26"/>
    <d v="2018-02-15T00:00:00"/>
    <n v="23"/>
    <s v="CELL22"/>
    <s v="Medium Bay"/>
    <s v="Z1A-PT"/>
    <s v="Pressure Transducer"/>
    <m/>
    <m/>
    <m/>
    <m/>
    <m/>
    <s v="Mike Watkins"/>
    <m/>
    <m/>
    <s v="Cannibalized"/>
    <s v="The sensors will be re-installed at CELL22 after the completion of the CELL8 SIT. _x000d__x000a_The sensors are marked to ensure they will be installed at their original locations (ports) when they are re-installed in CELL22._x000d__x000a_2/15/2018: sensors were re-installed following CELL8 SIT. "/>
    <s v="Off Test"/>
    <m/>
    <m/>
  </r>
  <r>
    <s v="EMR-253"/>
    <s v="Wiring sequence in bunker 8, 30A disconnect is 1,3,2 instead of 3,2,1._x000d__x000a_Verified against reference TCU._x000d__x000a_"/>
    <x v="0"/>
    <s v="TBD"/>
    <s v="Robert Frenzel"/>
    <m/>
    <x v="26"/>
    <d v="2018-01-29T00:00:00"/>
    <n v="6"/>
    <s v="CELL8"/>
    <s v="Medium Bay"/>
    <s v="480VAC Electrical Service"/>
    <s v="Electrical Service"/>
    <m/>
    <m/>
    <m/>
    <m/>
    <m/>
    <s v="HCTC Maintenance"/>
    <s v="SERVICABLE – REPAIR (in-house)"/>
    <s v="ELECTRICAL (Power)"/>
    <s v="INSTALLATION ERROR"/>
    <s v="Correct wiring to 3,2,1._x000d__x000a_1/24/2018: Pat/Rigo we corrected the polarity of the disconnect box."/>
    <m/>
    <m/>
    <m/>
  </r>
  <r>
    <s v="EMR-254"/>
    <s v="The existing power plug needs to be replaced with 60A plug that is compatible with the HCTC disconnects._x000d__x000a_When replacement is complete, the unit must be checked for rotation._x000d__x000a_This is system modification action. "/>
    <x v="0"/>
    <s v="TBD"/>
    <s v="Anthony Ramos"/>
    <m/>
    <x v="27"/>
    <d v="2018-01-29T00:00:00"/>
    <n v="4"/>
    <s v="PIT6"/>
    <s v="High Bay"/>
    <s v="H-10"/>
    <s v="Hydraulic Pump"/>
    <m/>
    <m/>
    <m/>
    <m/>
    <m/>
    <s v="HCTC Maintenance"/>
    <s v="System Modification"/>
    <s v="N/A-Preventive Maintenance Action"/>
    <s v="MODIFICATION or UPGRADE"/>
    <s v="1/25/2018: In progress._x000d__x000a_1/26/2018: I (Patrick Hooten) replaced the 100amp plug with a new 60amp plug. "/>
    <m/>
    <m/>
    <m/>
  </r>
  <r>
    <s v="EMR-255"/>
    <s v="The shop air supply ball valves in each of the manifold rooms can be inadvertantly opened. This model ball valve handle does not have a locking tab."/>
    <x v="0"/>
    <s v="2"/>
    <s v="Anthony Ramos"/>
    <s v="Jimmie Dowd"/>
    <x v="27"/>
    <d v="2018-09-10T00:00:00"/>
    <n v="228"/>
    <s v="CELLS (7-8)_(15-22)"/>
    <s v="Medium Bay"/>
    <s v="Shop Air Supply Dump Valve"/>
    <s v="Shop Air Supply Valve"/>
    <m/>
    <s v="None"/>
    <s v="None"/>
    <n v="0"/>
    <n v="0"/>
    <s v="Anthony Ramos"/>
    <s v="System Modification"/>
    <s v="MECHANICAL"/>
    <s v="MODIFICATION or UPGRADE"/>
    <s v="Replace all existing shop air supply ball valves with balls valves containing the locking (tab) lever. _x000d__x000a_Possibly an option to replace just the handle instead of the entire ball valve._x000d__x000a_2/16/2018 (Ramos): The valves were replaced with the type that have locking levers.  This was done in all the small bunkers.  The ones in the large bunkers are not a risk for this happening because of their location and were not replaced.  If in the future we do see a need to replace the ones in the large bunkers we have spares._x000d__x000a_"/>
    <s v="N/A-Not Applicable"/>
    <s v="N/A"/>
    <m/>
  </r>
  <r>
    <s v="EMR-256"/>
    <s v="Hammond Bunker (CELL10) manifold gas booster reported defective by the CAE contractors. "/>
    <x v="0"/>
    <s v="TBD"/>
    <s v="Jimmie Dowd"/>
    <m/>
    <x v="28"/>
    <d v="2018-04-02T00:00:00"/>
    <n v="66"/>
    <s v="CELL10"/>
    <s v="Medium Bay"/>
    <s v="Gas Booster G-15"/>
    <s v="Gas Booster"/>
    <m/>
    <m/>
    <m/>
    <m/>
    <m/>
    <s v="HCTC Maintenance"/>
    <s v="SERVICABLE – REPAIR (contractor)"/>
    <s v="PNEUMATIC (leaks, valves, seals, etc.)"/>
    <s v="COMPONENT WEAR &amp; TEAR"/>
    <s v="Ship the gas booster to Pneumatic and Hydraulic Co.  diagnostics and quote for refurbishment._x000d__x000a_Per the quote, a decision is to be made on either repairing the gas booster or purchasing a new one._x000d__x000a_1/30/18: Shipping form completed to ship to Pneumatic and Hydraulic Co._x000d__x000a_3/2/2018: Received repair quote from P&amp;H. Requisition submitted. P&amp;H service report reads: Upon evaluation_x000d__x000a_of the equipment, the technician found the following: Spool O-ring seized, lube washed out,gas seals worn, large amount of water in air drive._x000d__x000a_4/2/2018: Gas Booster repaired and returned to the HCTC. EMR is Closed."/>
    <m/>
    <m/>
    <m/>
  </r>
  <r>
    <s v="EMR-257"/>
    <s v="No input signal from the door latch. Wiring in connector may be wrong."/>
    <x v="0"/>
    <s v="TBD"/>
    <s v="John Amstadt (Erdosmiller)"/>
    <m/>
    <x v="28"/>
    <d v="2018-03-06T00:00:00"/>
    <n v="39"/>
    <s v="CELL16"/>
    <s v="Medium Bay"/>
    <s v="Manifold Room Door"/>
    <s v="HSE System"/>
    <m/>
    <m/>
    <m/>
    <m/>
    <m/>
    <s v="CAE"/>
    <s v="SERVICABLE – REPAIR (contractor)"/>
    <s v="FAILED SENSOR"/>
    <s v="MODIFICATION or UPGRADE"/>
    <s v="CAE to troubleshoot/repair when they return to the HCTC in February._x000d__x000a_2/15/2018: CAE to check week of 2/26._x000d__x000a_3/5/2018: John Amstadt made a code modification. Door open indication now appears when it should. EMR Closed."/>
    <m/>
    <m/>
    <m/>
  </r>
  <r>
    <s v="EMR-258"/>
    <s v="Signal reading 2mA. Should read 4mA on baseline."/>
    <x v="0"/>
    <s v="2"/>
    <s v="John Amstadt (Erdosmiller)"/>
    <m/>
    <x v="28"/>
    <d v="2018-06-26T00:00:00"/>
    <n v="151"/>
    <s v="CELL16"/>
    <s v="Medium Bay"/>
    <s v="VENT-2-PT"/>
    <s v="Pressure Transducer"/>
    <m/>
    <m/>
    <m/>
    <m/>
    <m/>
    <s v="HCTC Systems Group"/>
    <s v="SERVICABLE – REPAIR (contractor)"/>
    <s v="TBD"/>
    <s v="TBD"/>
    <s v="Possible loose wire connection. CAE to troubleshoot / repair when they return to the HCTC in February._x000d__x000a_5/23/18: To be investigated and corrected by HCTC personnel. "/>
    <m/>
    <m/>
    <m/>
  </r>
  <r>
    <s v="EMR-259"/>
    <s v="Camera PC BitLocker drive is locked out. Unable to use camera system."/>
    <x v="0"/>
    <s v="2"/>
    <s v="Dale Pomeroy"/>
    <s v="Jimmie Dowd"/>
    <x v="29"/>
    <d v="2018-02-15T00:00:00"/>
    <n v="16"/>
    <s v="CELL7"/>
    <s v="Medium Bay"/>
    <s v="Console Computer"/>
    <s v="Control Console"/>
    <m/>
    <s v="TBD"/>
    <s v="N/A"/>
    <m/>
    <m/>
    <s v="IT"/>
    <s v="IT corrective action"/>
    <s v="Camera (no display)"/>
    <s v="IT Security Requirement"/>
    <s v="Contact IT for support._x000d__x000a_1/31/2018: IT ticket INC000019917517._x000d__x000a_"/>
    <s v="Potential Impact"/>
    <s v="N/A"/>
    <s v="PC anomalies may result in loss of manifold control and loss of data visibility."/>
  </r>
  <r>
    <s v="EMR-260"/>
    <s v="Carl Haenel: Alarm set and shut the unit down overnight during cold test. Reset and within a few hours the unit shut down again."/>
    <x v="0"/>
    <s v="TBD"/>
    <s v="Carl Haenel"/>
    <s v="Jimmie Dowd"/>
    <x v="29"/>
    <d v="2018-01-31T00:00:00"/>
    <n v="1"/>
    <s v="PIT5"/>
    <s v="High Bay"/>
    <s v="CSZ Thermal Chamber"/>
    <s v="Temperature Control Unit"/>
    <m/>
    <s v="None"/>
    <s v="None"/>
    <m/>
    <m/>
    <s v="Carl Haenel"/>
    <s v="SERVICABLE – REPAIR (contractor)"/>
    <s v="UNDER/OVER PRESSURE"/>
    <s v="OPERATING BEYOND DESIGN LIMITS"/>
    <s v="Carl Haenel: Called EMS to repair. System reading High/Low discharge pressures (refrigerent). Adjustments were made by increasing flow rates. System has worked fine since. Once we get a break in testing. EMS stated we will need to call them back out to fine tune system setpoints. Unit will need to be run at -40F."/>
    <s v="Delayed Test"/>
    <s v="N/A"/>
    <m/>
  </r>
  <r>
    <s v="EMR-261"/>
    <s v="Robert Frenzel: Bunker 21 was missed when CAE came to seal the transducer connectors._x000d__x000a_Water got into a transducer and caused an error. The transducer was reading several thousand psi when there was none._x000d__x000a__x000d__x000a__x000d__x000a_"/>
    <x v="0"/>
    <s v="2"/>
    <s v="Robert Frenzel"/>
    <s v="Jimmie Dowd"/>
    <x v="30"/>
    <d v="2018-09-10T00:00:00"/>
    <n v="222"/>
    <s v="CELL21"/>
    <s v="Medium Bay"/>
    <s v="MSV-1-PT"/>
    <s v="Pressure Transducer"/>
    <m/>
    <m/>
    <m/>
    <n v="0"/>
    <n v="0"/>
    <s v="CAE"/>
    <s v="SERVICABLE – REPAIR (contractor)"/>
    <s v="FAILED SENSOR"/>
    <s v="INSTALLATION ERROR"/>
    <s v="CAE to complete injecting silicone into unsealed connectors._x000d__x000a_3/5/18: Completed._x000d__x000a__x000d__x000a_"/>
    <s v="N/A-Not Applicable"/>
    <s v="N/A"/>
    <m/>
  </r>
  <r>
    <s v="EMR-262"/>
    <s v="Hydro pump P4 max out at 22,700 psi then bypasses the internal check. The working pressure for P4 should be 38,400 psi."/>
    <x v="1"/>
    <s v="TBD"/>
    <s v="Chris Goodwater"/>
    <s v="Jimmie Dowd"/>
    <x v="31"/>
    <m/>
    <n v="246.84"/>
    <s v="CELL8"/>
    <s v="Medium Bay"/>
    <s v="P4"/>
    <s v="Hydraulic Pump"/>
    <s v="Parker Autoclave Engineers"/>
    <s v="None"/>
    <s v="None"/>
    <n v="0"/>
    <n v="0"/>
    <s v="HCTC Systems Group"/>
    <s v="TBD"/>
    <s v="HYDRAULIC (leaks, valves, seals, etc.)"/>
    <s v="TBD"/>
    <s v="Pump maintenance training class is scheduled for the month of September. The class is to be conducted by Parker's product manager, Shawn Landry. The training class will include maintenance on this pump. "/>
    <s v="Minimal"/>
    <s v="N/A"/>
    <s v="Use Pump P5 for pressures greater than 38 KSI."/>
  </r>
  <r>
    <s v="EMR-263"/>
    <s v="Vent-1-PT and Vent-2-PT transducers have been swapped. It appears the cable terminations for these two transducers are reversed."/>
    <x v="0"/>
    <s v="2"/>
    <s v="Chris Goodwater"/>
    <m/>
    <x v="31"/>
    <d v="2018-06-26T00:00:00"/>
    <n v="148"/>
    <s v="CELL8"/>
    <s v="Medium Bay"/>
    <s v="VENT-1-PT"/>
    <s v="Pressure Transducer"/>
    <m/>
    <m/>
    <m/>
    <m/>
    <m/>
    <s v="HCTC Systems Group"/>
    <s v="SERVICABLE – REPAIR (contractor)"/>
    <m/>
    <s v="INSTALLATION ERROR"/>
    <s v="CAE to correct the transducer wiring when they return to the HCTC in February. _x000d__x000a_2/15/2018: Will need to check all CELLS to make sure they are not reversed._x000d__x000a_5/23/18: HCTC Systems to investigate this issue."/>
    <m/>
    <m/>
    <m/>
  </r>
  <r>
    <s v="EMR-264"/>
    <s v="Neal: Crane cut off during a lift . Changed the batteries and still not coming on . Tried the master control in the tool room , crane still does not come on . I have a load suspended on the crane at this time ."/>
    <x v="0"/>
    <s v="1"/>
    <s v="Neal Geisler "/>
    <m/>
    <x v="32"/>
    <d v="2018-02-13T00:00:00"/>
    <n v="12"/>
    <s v="PIT2"/>
    <s v="High Bay"/>
    <s v="W.C. 3035"/>
    <s v="Cranes"/>
    <m/>
    <m/>
    <m/>
    <m/>
    <m/>
    <s v="HCTC Maintenance"/>
    <s v="SERVICABLE – REPAIR (contractor)"/>
    <s v="ELECTRICAL (Power)"/>
    <s v="COMPONENT WEAR &amp; TEAR"/>
    <s v="2/1/18 as of 0830 hrs: HCTC Maintenance troubleshooting._x000d__x000a_2/13/2018 (Patrick Hooten): Crane company came out and found a blown fuse in the remote control box. Complete._x000d__x000a_"/>
    <s v="Delayed Test"/>
    <m/>
    <m/>
  </r>
  <r>
    <s v="EMR-265"/>
    <s v="UPS failed in the computer console station resulting in a battery mode for the CamDaq 2 UPS. Also significant observed when the CamDaq 2 UPS was plugged into the 120 VAC receptacle via extension cord."/>
    <x v="0"/>
    <s v="1"/>
    <s v="Carl Haenel"/>
    <s v="Jimmie Dowd"/>
    <x v="32"/>
    <d v="2018-02-01T00:00:00"/>
    <n v="0"/>
    <s v="PIT4"/>
    <s v="High Bay"/>
    <s v="Computer Console UPS"/>
    <s v="Control Console"/>
    <m/>
    <s v="None"/>
    <s v="None"/>
    <m/>
    <m/>
    <s v="Jimmie Dowd"/>
    <s v="SERVICABLE – REPAIR (in-house)"/>
    <s v="ELECTRICAL (Power)"/>
    <s v="Component Defect"/>
    <s v="CamDaq 2 UPS was plugged into the PIT4 console UPS. One bank on the UPS failed, putting the CamDaq UPS in battery mode. The CamDaq UPS was then plugged into a PIT4 120 VAC receptacle via an extension cord. Significant noise was observed in the sensor data on the CamDaq DAQ screen. The CamDaq 2 UPS was then plugged into the one remaining bank and the noise levels were reduced._x000d__x000a__x000d__x000a_Recommendations:_x000d__x000a_CamDaq UPS should be plugged directly into the 120 VAC without an extension cord._x000d__x000a_Clean power 120 VAC receptacles do not appear to be at any of the PIT locations. Clean power is recommended for the DAQ/CTRL systems regardless of the UPS._x000d__x000a_"/>
    <s v="Potential Impact"/>
    <s v="N/A"/>
    <m/>
  </r>
  <r>
    <s v="EMR-266"/>
    <s v="O-ring on SAE flange on main supply line to pod failed."/>
    <x v="0"/>
    <s v="1"/>
    <s v="Carl Haenel"/>
    <s v="Jimmie Dowd"/>
    <x v="32"/>
    <d v="2018-02-02T00:00:00"/>
    <n v="1"/>
    <s v="PIT5"/>
    <s v="High Bay"/>
    <s v="Control Pod (PIT5)"/>
    <s v="Manifold "/>
    <m/>
    <s v="None"/>
    <s v="None"/>
    <m/>
    <m/>
    <s v="C-Automation"/>
    <s v="SERVICABLE – REPAIR (contractor)"/>
    <s v="HYDRAULIC (leaks, valves, seals, etc.)"/>
    <s v="COMPONENT WEAR &amp; TEAR"/>
    <s v="Carl Haenel:  I have called C-Automation and are currently repairing as of 10:30am 2-1-18._x000d__x000a_2/1/18 at 1231 hrs:  (Carl Haenel) The O-ring was repaired and we are back up and running. "/>
    <s v="Stopped Test"/>
    <s v="N/A"/>
    <m/>
  </r>
  <r>
    <s v="EMR-267"/>
    <s v=" Leaking Tescom regulator on function B."/>
    <x v="0"/>
    <s v="TBD"/>
    <s v="Carl Haenel"/>
    <s v="Jimmie Dowd"/>
    <x v="32"/>
    <d v="2018-04-12T00:00:00"/>
    <n v="70"/>
    <s v="PIT5"/>
    <s v="High Bay"/>
    <s v="Control Pod (PIT5)"/>
    <s v="Manifold "/>
    <m/>
    <s v="None"/>
    <s v="None"/>
    <m/>
    <m/>
    <s v="C-Automation"/>
    <s v="SERVICABLE – REPAIR (contractor)"/>
    <s v="HYDRAULIC (leaks, valves, seals, etc.)"/>
    <s v="TBD"/>
    <s v="C-Automation to repair regulator."/>
    <s v="Potential Impact"/>
    <s v="N/A"/>
    <m/>
  </r>
  <r>
    <s v="EMR-268"/>
    <s v="Pump leaking from housing."/>
    <x v="0"/>
    <s v="1"/>
    <s v="Walter Robertson"/>
    <m/>
    <x v="33"/>
    <d v="2018-02-15T00:00:00"/>
    <n v="9"/>
    <s v="PIT6"/>
    <s v="High Bay"/>
    <s v="Submersible Sump Pump"/>
    <s v="Hydraulic Pump"/>
    <m/>
    <m/>
    <m/>
    <m/>
    <m/>
    <s v="HCTC Maintenance"/>
    <s v="SERVICABLE – REPAIR (in-house)"/>
    <s v="HYDRAULIC (leaks, valves, seals, etc.)"/>
    <s v="COMPONENT WEAR &amp; TEAR"/>
    <s v="HCTC Maintenance to disassembly to check and replace gaskets/seals. _x000d__x000a_2/6/2018 (Hooten): Pump was leaking between the pump housing and the motor housing. We removed the pump housing and cleaned the mating surfaces. We then put 515 Gasket Eliminator on those surfaces and bolted them back together. "/>
    <s v="Potential Impact"/>
    <m/>
    <m/>
  </r>
  <r>
    <s v="EMR-269"/>
    <s v="Shutdown. Fault #71._x000d__x000a_The shutdown resulted in decreasing air supply pressure to the Medium Bay manifolds."/>
    <x v="0"/>
    <s v="1"/>
    <s v="Anthony Ramos"/>
    <m/>
    <x v="33"/>
    <d v="2018-02-15T00:00:00"/>
    <n v="9"/>
    <s v="W.C.1914"/>
    <s v="Medium Bay"/>
    <s v="Shop Air Compressor (VS 170)"/>
    <s v="Shop Air Compressor"/>
    <m/>
    <m/>
    <m/>
    <m/>
    <m/>
    <s v="HCTC Maintenance"/>
    <s v="SERVICABLE – REPAIR (in-house)"/>
    <s v="ELECTRICAL (Controls)"/>
    <s v="COMPONENT WEAR &amp; TEAR"/>
    <s v="HCTC Maintenance to troubleshoot and conduct corrective action(s). _x000d__x000a_2/6/2018 (Rigo): Shutdown #102 is a Drive 1Fault-Main motor VFD ha shutdown and to check the main motor VFD operation. The # 71 Fault is in the drive manufacturer book and that was related to a cooling fan inside the VFD. _x000d__x000a_The last time we had this issue Pat and I  assisted the electrician in removing the VFD and replacing all five internal drive cooling fans, which saved the company $20,000.00 . The dive is now considered obsolete and we may have to do this again._x000d__x000a_I think the high discharge temp fault is actually a false reading due to the fact the thermistor is failing. I took the temperature reading with infrared thermometer and the two temps did not agree and I also was able to place my hand on the heat exchanger. Temperature reading indicated by the compressor thermistor = 179 degrees Fahrenheit, the infrared thermometer read 129 degrees and my hand concurred._x000d__x000a_We are getting price and availability for a new Thermistor from Dan Mar Industries as you are reading this. _x000d__x000a_"/>
    <s v="Potential Impact"/>
    <m/>
    <m/>
  </r>
  <r>
    <s v="EMR-270"/>
    <s v="Water leak resulted in cRIO cabinet filled with water approx. 1/2” deep."/>
    <x v="0"/>
    <s v="TBD"/>
    <s v="Robert Frenzel"/>
    <m/>
    <x v="33"/>
    <d v="2018-05-23T00:00:00"/>
    <n v="106"/>
    <s v="Medium Bay  Test Cells"/>
    <s v="Medium Bay"/>
    <s v="DAQ System Enclosures"/>
    <s v="DAQ-CTRL System"/>
    <m/>
    <m/>
    <m/>
    <m/>
    <m/>
    <s v="HCTC Systems Group"/>
    <s v="SERVICABLE – REPAIR (in-house)"/>
    <s v="HYDRAULIC (leaks, valves, seals, etc.)"/>
    <s v="OPERATOR ERROR"/>
    <s v="Drill drain hole to drain water and dry out._x000d__x000a_Apply TCU for 2 days to dry wiring harnesses and cable runs._x000d__x000a__x000d__x000a_Recommendations/Lessons Learned:_x000d__x000a_-following a leak event, that occurs near an enclosure, inspect enclosure to ensure no water entry._x000d__x000a_-as part of the post-test inspections, inspect enclosures to ensure no water entry occured during testing._x000d__x000a_-as part of the pre-test or periodic inspections, verify enclosure doors have good seals and that they are secured._x000d__x000a_-if possible, drill drain holes in enclosures._x000d__x000a_"/>
    <s v="Potential Impact"/>
    <m/>
    <m/>
  </r>
  <r>
    <s v="EMR-271"/>
    <s v="IP test bunker cameras disabled facility wide._x000d__x000a_Client viewers at each workstation are unable to access the cameras._x000d__x000a_All of these cameras are down simultaneously after an update push and restart._x000d__x000a_"/>
    <x v="0"/>
    <s v="1"/>
    <s v="Robert Frenzel"/>
    <m/>
    <x v="34"/>
    <d v="2018-02-07T00:00:00"/>
    <n v="0"/>
    <s v="All HCTC Test Locations"/>
    <s v="Medium Bay"/>
    <s v="Camera (Bunker)"/>
    <s v="Camera System"/>
    <m/>
    <m/>
    <m/>
    <m/>
    <m/>
    <s v="IT"/>
    <s v="SERVICABLE – REPAIR (in-house)"/>
    <s v="COMPUTER ANOMALY"/>
    <s v="INSTALLATION ERROR"/>
    <s v="IT Ticket number INC000019952867 submitted by Robert Frenzel on 2/7/2018._x000d__x000a__x000d__x000a_2/7/18 (Frenzel): Camera server has been identified and the correct buttons pressed._x000d__x000a_A Server reset was required after a system update push and failure to restart properly._x000d__x000a_Noted for future reference._x000d__x000a_A SLB IT security specialist (Carl Steinberg) recommended we put the cameras on a vlan and isolate them from SINet._x000d__x000a_"/>
    <s v="Potential Impact"/>
    <m/>
    <m/>
  </r>
  <r>
    <s v="EMR-272"/>
    <s v=" On the control pod in pit 3, the regulator stem broke not allowing us to use any of the controls."/>
    <x v="0"/>
    <s v="1"/>
    <s v="Effron Tillman"/>
    <s v="Jimmie Dowd"/>
    <x v="35"/>
    <d v="2018-02-16T00:00:00"/>
    <n v="8"/>
    <s v="PIT3"/>
    <s v="High Bay"/>
    <s v="Control Pod (PIT3)"/>
    <s v="Manifold "/>
    <m/>
    <s v="None"/>
    <s v="None"/>
    <m/>
    <m/>
    <s v="C-Automation"/>
    <s v="SERVICABLE – REPAIR (contractor)"/>
    <s v="HYDRAULIC (leaks, valves, seals, etc.)"/>
    <s v="COMPONENT WEAR &amp; TEAR"/>
    <s v="C-Automation resolved the problem by removing the regulator stem from pit 1, and swapping it out with the one that broke in pit 3._x000d__x000a_2/16/2018 (Dowd): The regulator part number is 26-2062D24A250. Rebuild kit is JT389-9119. Rebuild kits ordered for these units._x000d__x000a_This EMR will be closed since an R&amp;R has been done. An EMR will be taken out for Control Pod 1 until the regulator there has been rebuilt._x000d__x000a_"/>
    <s v="Stopped Test"/>
    <m/>
    <m/>
  </r>
  <r>
    <s v="EMR-273"/>
    <s v="Intermittent operation. Display flashing on and off."/>
    <x v="0"/>
    <s v="2"/>
    <s v="Anthony Ramos"/>
    <s v="Jimmie Dowd"/>
    <x v="36"/>
    <d v="2018-03-05T00:00:00"/>
    <n v="24"/>
    <s v="CELL21"/>
    <s v="Medium Bay"/>
    <s v="Air Supply Pressure Switch"/>
    <s v="Digital Pressure Switch"/>
    <m/>
    <s v="None"/>
    <s v="None"/>
    <m/>
    <m/>
    <s v="Robert Frenzel"/>
    <s v="Serviceable – Repair (In-House)"/>
    <s v="ELECTRICAL (Controls)"/>
    <s v="INSTALLATION ERROR"/>
    <s v="Pressure switch is to be removed and replaced. Spares to be ordered from Automation Direct. _x000d__x000a_Troubleshooting root cause._x000d__x000a_2/13/2018: Root cause is loose wire connection. Wires reset. Pressure switch was not R&amp;R'd._x000d__x000a_2/19/2018: EMR re-opened. Issue continues despite wiring adjustments._x000d__x000a_3/5/2018:Ferrules were omitted from wiring terminations causing shorts. +24VDC supply lead broken/disconnected. Ferrules added to all terminations and the broken supply wire was repaired. Completed._x000d__x000a_"/>
    <s v="Potential Impact"/>
    <s v="N/A"/>
    <m/>
  </r>
  <r>
    <s v="EMR-274"/>
    <s v="HYTORC 2-3/8” Head for XLCT 8  _x000d__x000a_The head of the torque wrench isn’t properly clicking. Also when I took the piston off the head, I saw a bunch of metal shavings inside."/>
    <x v="0"/>
    <s v="2"/>
    <s v="Arthur Hernandez Jr"/>
    <m/>
    <x v="36"/>
    <d v="2018-02-15T00:00:00"/>
    <n v="6"/>
    <s v="PIT3"/>
    <s v="High Bay"/>
    <s v="HYTORC Wrench"/>
    <s v="Torque Tools"/>
    <m/>
    <m/>
    <m/>
    <m/>
    <m/>
    <s v="Hytorc"/>
    <s v="SERVICABLE – REPAIR (contractor)"/>
    <s v="MECHANICAL"/>
    <s v="COMPONENT WEAR &amp; TEAR"/>
    <s v="(Hernandez): I let Carl and Tim know about it immediately. I believe they called Hytorc already to come and fix it because this is urgent._x000d__x000a__x000d__x000a_2/15/2018: Head R&amp;R'd via Hytorc."/>
    <s v="Delayed Test"/>
    <m/>
    <m/>
  </r>
  <r>
    <s v="EMR-275"/>
    <s v="Facility received a power surge and resulting in a DAQ reset causing a reset of all test information. Unable to reload the saved configuration file so had to bleed off pressure and recreate a new test configuration file._x000d__x000a_This incident occurred in the middle of a pressure hold._x000d__x000a_UPS failure. "/>
    <x v="0"/>
    <s v="2"/>
    <s v="Chris Goodwater"/>
    <m/>
    <x v="37"/>
    <d v="2018-05-23T00:00:00"/>
    <n v="100"/>
    <s v="CELL18"/>
    <s v="Medium Bay"/>
    <s v="UPS SMT2200 (AP9613)"/>
    <s v="UPS"/>
    <m/>
    <m/>
    <m/>
    <m/>
    <m/>
    <s v="HCTC Systems Group"/>
    <s v="TBD"/>
    <s v="ELECTRICAL (Power)"/>
    <s v="Component Defect"/>
    <s v="Check UPS function. Remove and replace when possible. Spares currently not available. Check warranty status._x000d__x000a_4/26/18: Warrenty no longer applicable. Spare UPS to be ordered. _x000d__x000a_"/>
    <s v="Stopped Test"/>
    <m/>
    <m/>
  </r>
  <r>
    <s v="EMR-276"/>
    <s v="Regulator set to 600psi and shot to 4k over pressuring hydraulic circuit "/>
    <x v="0"/>
    <s v="1"/>
    <s v="Carl Haenel"/>
    <s v="Jimmie Dowd"/>
    <x v="37"/>
    <d v="2018-02-13T00:00:00"/>
    <n v="1"/>
    <s v="PIT4"/>
    <s v="High Bay"/>
    <s v="Control Pod (PIT4)"/>
    <s v="Manifold "/>
    <m/>
    <s v="None"/>
    <s v="None"/>
    <m/>
    <m/>
    <s v="C-Automation"/>
    <s v="Serviceable – Repair (Contractor)"/>
    <s v="HYDRAULIC (leaks, valves, seals, etc.)"/>
    <s v="Unknown"/>
    <s v="C-Automation disassembled tescom regulator and did not find any issues. Also blew out ER5000 with air. Reassembled and have not had an issue since. Still not sure what caused the issue."/>
    <s v="Delayed Test"/>
    <m/>
    <m/>
  </r>
  <r>
    <s v="EMR-277"/>
    <s v=" Install RS 485 communication port in control room, cell 16"/>
    <x v="0"/>
    <s v="3"/>
    <s v="Robert Frenzel"/>
    <m/>
    <x v="38"/>
    <d v="2018-02-15T00:00:00"/>
    <n v="2"/>
    <s v="CELL16"/>
    <s v="Medium Bay"/>
    <s v="DAQ-CTRL System Serial Interface"/>
    <s v="DAQ-CTRL System I/O"/>
    <m/>
    <m/>
    <m/>
    <m/>
    <m/>
    <s v="Robert Frenzel"/>
    <m/>
    <m/>
    <s v="MODIFICATION or UPGRADE"/>
    <s v="Install RS 485 port_x000d__x000a_2/13/2018 (Frenzel): Complete. Serial port installed._x000d__x000a_"/>
    <m/>
    <m/>
    <m/>
  </r>
  <r>
    <s v="EMR-278"/>
    <s v=" Need a nitrogen hose ran from the source up on wall down to Pit 6. "/>
    <x v="0"/>
    <s v="TBD"/>
    <s v="Ryan Theiss"/>
    <m/>
    <x v="39"/>
    <d v="2018-02-21T00:00:00"/>
    <n v="7"/>
    <s v="PIT6"/>
    <s v="High Bay"/>
    <s v="Nitrogen Supply System"/>
    <s v="Nitrogen Supply System"/>
    <m/>
    <m/>
    <m/>
    <m/>
    <m/>
    <s v="HCTC Maintenance"/>
    <m/>
    <m/>
    <s v="MODIFICATION or UPGRADE"/>
    <s v="Pat already aware of necessary work._x000d__x000a_2/21/2018 (Hooten): We have decided it would be safer to use bottles until the line is hard piped."/>
    <m/>
    <m/>
    <m/>
  </r>
  <r>
    <s v="EMR-279"/>
    <s v="Bleed on PORT A was started simultaneously with PORT C (from 10,500 psi down to 1500 psi in 30 mins, then 1500 psi down to 0 psi in 240 mins). Port B did well on both stages. PORT A flat lined at 1500 psi and did not continiue on 2nd stage of bleed. Had to stop the bleed, restarted 2x to get it to go down."/>
    <x v="0"/>
    <s v="2"/>
    <s v="Dale Pomeroy"/>
    <s v="Jimmie Dowd"/>
    <x v="38"/>
    <d v="2018-07-11T00:00:00"/>
    <n v="148"/>
    <s v="CELL7"/>
    <s v="Medium Bay"/>
    <s v="DAQ-CTRL System Software"/>
    <s v="DAQ-CTRL System I/O"/>
    <m/>
    <s v="N/A"/>
    <s v="N/A"/>
    <n v="0"/>
    <n v="0"/>
    <s v="John Amstadt (Erdosmiller)"/>
    <s v="Serviceable – Repair (Contractor)"/>
    <s v="SOFTWARE ANOMALY"/>
    <s v="Unknown"/>
    <s v="8/23/18: No root cause known."/>
    <s v="Delayed Test"/>
    <s v="N/A"/>
    <m/>
  </r>
  <r>
    <s v="EMR-280"/>
    <s v="UPS power loss. Battery drain. _x000d__x000a_Due to quads C15-2 and C12-11 having no power. This could be due to the electricians working on the Waller bunkers, or the recent power outages._x000d__x000a_"/>
    <x v="0"/>
    <s v="1"/>
    <s v="Anthony Ramos"/>
    <m/>
    <x v="40"/>
    <d v="2018-02-16T00:00:00"/>
    <n v="1"/>
    <s v="CELL20"/>
    <s v="Medium Bay"/>
    <s v="UPS SMT2200 (AP9613)"/>
    <s v="Electrical Power"/>
    <m/>
    <m/>
    <m/>
    <m/>
    <m/>
    <s v="HCTC Maintenance"/>
    <s v="SERVICABLE – REPAIR (in-house)"/>
    <s v="ELECTRICAL (Power)"/>
    <s v="CONTRACTOR ERROR"/>
    <s v="Notify HCTC maintenance to verify cause and corrective action. Plugged CELL20 console into CELL19 receptacles to re-charge UPS overnight._x000d__x000a_2/16/18: HCTC Maintenance confirmed the breaker was shutoff. Most likely by the electrical contractors working on the Waller Bunkers. Breaker has been reset and power restored. EMR is Closed. UPS has successfully recharged overnight._x000d__x000a_2/16/18(Hooten):I checked the breakers to C15-2 and C12-11. Both were turned off with no lock out/Tag out. I checked both circuits to make sure I would not be turning power on to harm anyone  or thing. I then turned the breakers back on._x000d__x000a_Worked 1hr_x000d__x000a_Lessons Learned: Contractors should communicate their work actions to one or more of the following:  HCTC Maintenance, Bay managers, Tech leads, or HCTC Systems. Preparations can then be made to mitigate impact to testing."/>
    <s v="Delayed Test"/>
    <m/>
    <m/>
  </r>
  <r>
    <s v="EMR-281"/>
    <s v="Tescom regulator (part number 26-2062D24A250) stem cannibalized for use on Control Pod 3. (Ref EMR-272)"/>
    <x v="0"/>
    <s v="2"/>
    <s v="HCTC Systems Group"/>
    <s v="Jimmie Dowd"/>
    <x v="41"/>
    <d v="2018-09-10T00:00:00"/>
    <n v="206"/>
    <s v="PIT1"/>
    <s v="High Bay"/>
    <s v="Control Pod (PIT1)"/>
    <s v="Manifold "/>
    <m/>
    <m/>
    <m/>
    <n v="0"/>
    <n v="0"/>
    <s v="C-Automation"/>
    <s v="SERVICABLE – REPAIR (contractor)"/>
    <s v="HYDRAULIC (leaks, valves, seals, etc.)"/>
    <s v="Cannibalized"/>
    <s v="The regulator part number is 26-2062D24A250. Rebuild kit is JT389-9119. Rebuild kits have been ordered for these units._x000d__x000a_The regulator nis to be rebuilt when these kits are received. ETA on kits is 3/2/2018. Attempts will be made to expedite._x000d__x000a_"/>
    <s v="N/A-Not Applicable"/>
    <s v="N/A"/>
    <m/>
  </r>
  <r>
    <s v="EMR-282"/>
    <s v="RS485 serial port on cRIO not communicating with Bemco TCU. Program was re-started, F4 controller settings were verified. The test was not interrupted to restart the TCU or cRIO._x000d__x000a_"/>
    <x v="0"/>
    <s v="2"/>
    <s v="Robert Frenzel"/>
    <s v="Jimmie Dowd"/>
    <x v="41"/>
    <d v="2018-04-26T00:00:00"/>
    <n v="69"/>
    <s v="CELL16"/>
    <s v="Medium Bay"/>
    <s v="DAQ-CTRL System Serial Interface"/>
    <s v="DAQ-CTRL System I/O"/>
    <m/>
    <s v="None"/>
    <s v="None"/>
    <m/>
    <m/>
    <s v="John Amstadt (Erdosmiller)"/>
    <s v="Serviceable – Repair (Contractor)"/>
    <s v="Failed RS-485 Serial Communication"/>
    <s v="Failed RS-485 Serial Interface"/>
    <s v="8/23/18: Load resistor required on RS-485 connection"/>
    <s v="Minimal"/>
    <s v="N/A"/>
    <m/>
  </r>
  <r>
    <s v="EMR-283"/>
    <s v="Regulator leaking from body (S/N 0182618)._x000d__x000a_This is a newly purchased regulator. This was a first time installation and use of the regulator._x000d__x000a_Installed another regulator to resume testing."/>
    <x v="0"/>
    <s v="TBD"/>
    <s v="Chris Goodwater"/>
    <m/>
    <x v="41"/>
    <d v="2018-02-23T00:00:00"/>
    <n v="7"/>
    <s v="CELL8"/>
    <s v="Medium Bay"/>
    <s v="Tescom 30K Pressure Regulator"/>
    <s v="Pressure Regulator"/>
    <m/>
    <m/>
    <m/>
    <m/>
    <m/>
    <s v="Chris Goodwater"/>
    <s v="NONE: Continued Use as Is"/>
    <s v="HYDRAULIC (leaks, valves, seals, etc.)"/>
    <s v="INSTALLATION ERROR"/>
    <s v="2/16/2018: Contact vendor (Hatfield and Company) and MFR (Emerson). Most likely return to Emerson for troubleshooting and repair. Hatfield and Company POC is Shawn Guidry (sguidry@hatfieldandcompany.com). _x000d__x000a__x000d__x000a_2/23/2018: re-tested the unit and determined that the root cause was the tightening of the fittings. They were not providing a good seal. With the fittings sufficiently tightened, the leaks did not occur._x000d__x000a_We will not return the regulators. EMR-283 is Closed._x000d__x000a__x000d__x000a__x000d__x000a_"/>
    <s v="Delayed Test"/>
    <m/>
    <m/>
  </r>
  <r>
    <s v="EMR-284"/>
    <s v="Regulator leaking from body (S/N 01872621)._x000d__x000a_(SAME PROBLEM AS EMR-283)_x000d__x000a_This is a newly purchased regulator. This was a first time installation and use of the regulator. _x000d__x000a_Installed another regulator to resume testing. _x000d__x000a_"/>
    <x v="0"/>
    <s v="TBD"/>
    <s v="Chris Goodwater"/>
    <m/>
    <x v="41"/>
    <d v="2018-02-23T00:00:00"/>
    <n v="7"/>
    <s v="CELL8"/>
    <s v="Medium Bay"/>
    <s v="Tescom 30K Pressure Regulator"/>
    <s v="Pressure Regulator"/>
    <m/>
    <m/>
    <m/>
    <m/>
    <m/>
    <s v="Chris Goodwater"/>
    <s v="SERVICABLE – REPAIR (contractor)"/>
    <s v="HYDRAULIC (leaks, valves, seals, etc.)"/>
    <s v="INSTALLATION ERROR"/>
    <s v="2/16/2018: Contact vendor (Hatfield and Company) and MFR (Emerson). Most likely return to Emerson for troubleshooting and repair. Hatfield and Company POC is Shawn Guidry (sguidry@hatfieldandcompany.com). _x000d__x000a__x000d__x000a_2/23/2018: re-tested the unit and determined that the root cause was the tightening of the fittings. They were not providing a good seal. With the fittings sufficiently tightened, the leaks did not occur._x000d__x000a_We will not return the regulators. EMR-284 is Closed._x000d__x000a__x000d__x000a__x000d__x000a_"/>
    <s v="Delayed Test"/>
    <m/>
    <m/>
  </r>
  <r>
    <s v="EMR-285"/>
    <s v="PC is losing communication with the CRIO. HMI is not responding to commands. "/>
    <x v="0"/>
    <s v="2"/>
    <s v="Martin Martinez"/>
    <s v="Jimmie Dowd"/>
    <x v="42"/>
    <d v="2018-04-26T00:00:00"/>
    <n v="66"/>
    <s v="CELL20"/>
    <s v="Medium Bay"/>
    <s v="DAQ-CTRL System Software"/>
    <s v="DAQ-CTRL System I/O"/>
    <m/>
    <s v="N/A"/>
    <s v="N/A"/>
    <m/>
    <m/>
    <s v="John Amstadt (Erdosmiller)"/>
    <s v="Serviceable – Repair (In-House)"/>
    <s v="DAQ Software Hang"/>
    <s v="Unknown"/>
    <s v="8/23/18: No root cause identified. Believe to be a buffer overflow_x000a_"/>
    <s v="Delayed Test"/>
    <s v="N/A"/>
    <m/>
  </r>
  <r>
    <s v="EMR-286"/>
    <s v="Tescom failure on pilot supply failed. Sent full system pressure (5k) to fixture with 3k max rating."/>
    <x v="0"/>
    <s v="1"/>
    <s v="Carl Haenel"/>
    <m/>
    <x v="43"/>
    <d v="2018-02-20T00:00:00"/>
    <n v="3"/>
    <s v="PIT4"/>
    <s v="High Bay"/>
    <s v="Control Pod (PIT4)"/>
    <s v="Manifold "/>
    <m/>
    <s v="None"/>
    <s v="None"/>
    <m/>
    <m/>
    <s v="C-Automation"/>
    <s v="SERVICABLE – REPAIR (contractor)"/>
    <s v="HYDRAULIC (leaks, valves, seals, etc.)"/>
    <s v="COMPONENT WEAR &amp; TEAR"/>
    <s v="Tescom did not have new updated components. C-automation Replaced and rebuilt with correct components. Carl Haenel added a relief valve between tescom and regulator to prevent this from occurring again. Suggestion is to add an adjustable relief valve for now as a protection in all control units."/>
    <s v="Stopped Test"/>
    <m/>
    <m/>
  </r>
  <r>
    <s v="EMR-287"/>
    <s v="Triplite power supply quit working on CamDaq 7. Possible cause from power surge during power outage."/>
    <x v="0"/>
    <s v="TBD"/>
    <s v="Carl Haenel"/>
    <m/>
    <x v="44"/>
    <d v="2018-02-20T00:00:00"/>
    <n v="0"/>
    <s v="PIT4"/>
    <s v="High Bay"/>
    <s v="UPS (Tripp-Lite)"/>
    <s v="Electrical Power"/>
    <m/>
    <m/>
    <m/>
    <m/>
    <m/>
    <s v="Carl Haenel"/>
    <s v="NOT SERVICABLE-REPLACE"/>
    <s v="ELECTRICAL (Power)"/>
    <s v="OPERATING BEYOND DESIGN LIMITS"/>
    <s v="Exchanged with new power supply (UPS) from spares inventory."/>
    <s v="Delayed Test"/>
    <m/>
    <m/>
  </r>
  <r>
    <s v="EMR-288"/>
    <s v="ALL SIDE PANEL ANCHOR BOLTS ARE LOOSE (NEVER TIGHTENED)  _x000d__x000a__x000d__x000a_Also noted some large anchor bolts loose and manifold room bolts missing."/>
    <x v="0"/>
    <s v="TBD"/>
    <s v="Glen Tyler"/>
    <m/>
    <x v="45"/>
    <d v="2018-04-12T00:00:00"/>
    <n v="49"/>
    <s v="CELLS (1-6)_(23-24)"/>
    <s v="Medium Bay"/>
    <s v="Test Bunker (structure)"/>
    <s v="Test Bunker (structure)"/>
    <m/>
    <m/>
    <m/>
    <m/>
    <m/>
    <s v="Fab Services"/>
    <s v="SERVICABLE – REPAIR (contractor)"/>
    <s v="MECHANICAL"/>
    <s v="INSTALLATION ERROR"/>
    <s v="Fab services to be notified for corrective actions."/>
    <m/>
    <m/>
    <m/>
  </r>
  <r>
    <s v="EMR-289"/>
    <s v="While conducting high pressure packer fatigue testing on 18 ¾ -10K DL Annular BOP in pit # 4 (10,000psi) waiting for the pressure to stabilize when suddenly we loss the electrical energy causing the annular bop opened by itself and blowing out lot of water reaching the roof of pit cover door."/>
    <x v="0"/>
    <s v="1"/>
    <s v="Buenaventura Gomez"/>
    <m/>
    <x v="46"/>
    <d v="2018-04-16T00:00:00"/>
    <n v="49"/>
    <s v="PIT4"/>
    <s v="High Bay"/>
    <s v="480VAC Electrical Service"/>
    <s v="Electrical Power"/>
    <m/>
    <m/>
    <m/>
    <m/>
    <m/>
    <s v="HCTC Maintenance"/>
    <s v="TBD"/>
    <s v="ELECTRICAL (Power)"/>
    <s v="POWER LOSS"/>
    <s v="We closed immediately HPU manual valves outside and inside and communicate the incident to the person in charge of running the HPU system to resolve the problem. Suggestion to install battery back ups on all pits._x000d__x000a_3/28/18: Hello Jimmy, the power loss issue was fixed on 3-9-2018. A trip module was replaced in the main power disconnect in the white trailer building so the EMR-289 may be closed for the repairing power loss problem. I was wondering if the issue of installing UPS systems for the computers can be possibly made on a new EMR. Rigo_x000d__x000a_"/>
    <s v="Stopped Test"/>
    <m/>
    <m/>
  </r>
  <r>
    <s v="EMR-290"/>
    <s v="Air pressure down to 0 psi."/>
    <x v="0"/>
    <s v="TBD"/>
    <s v="Carl Haenel"/>
    <m/>
    <x v="46"/>
    <d v="2018-02-26T00:00:00"/>
    <n v="0"/>
    <s v="All HCTC Test Locations"/>
    <m/>
    <s v="Shop Air Compressor (VS 170)"/>
    <s v="Shop Air Compressor"/>
    <m/>
    <m/>
    <m/>
    <m/>
    <m/>
    <s v="HCTC Maintenance"/>
    <s v="SERVICABLE – REPAIR (in-house)"/>
    <s v="ELECTRICAL (Power)"/>
    <s v="POWER LOSS"/>
    <s v="2/26/2018 (Carl): Got with Pat and Rigo to turn the air compressors back on. They were off from the power outage on Friday (2-23-18) and throwing code for high discharge temp. They changed the thermocouple while the unit was down."/>
    <m/>
    <m/>
    <m/>
  </r>
  <r>
    <s v="EMR-291"/>
    <s v="Date on graph screen reset to year 1903. Technician had to restart PC to restore date."/>
    <x v="0"/>
    <s v="2"/>
    <s v="Jimmie Dowd"/>
    <s v="Jimmie Dowd"/>
    <x v="46"/>
    <d v="2018-05-29T00:00:00"/>
    <n v="92"/>
    <s v="CELL17"/>
    <s v="Medium Bay"/>
    <s v="DAQ-CTRL System Software"/>
    <s v="DAQ-CTRL System I/O"/>
    <m/>
    <s v="N/A"/>
    <s v="N/A"/>
    <m/>
    <m/>
    <s v="John Amstadt (Erdosmiller)"/>
    <s v="Serviceable – Repair (Contractor)"/>
    <s v="Inaccurate Data Display"/>
    <s v="Failed Timestamp Synchronization (cRIO and PC)"/>
    <s v="5/25/18: cRIOs provide timestamps and graphs clear when test info entered._x0009_Fixed. _x000a_8/23/18: Issues with cRIO and PC clocks. cRIO sources timestamps now."/>
    <s v="Delayed Test"/>
    <s v="N/A"/>
    <m/>
  </r>
  <r>
    <s v="EMR-292"/>
    <s v="Do not have UP function.  East, West, North, South, and Down functions are working."/>
    <x v="0"/>
    <s v="1"/>
    <s v="Carl Haenel"/>
    <m/>
    <x v="47"/>
    <d v="2018-02-28T00:00:00"/>
    <n v="1"/>
    <s v="PIT5"/>
    <s v="High Bay"/>
    <s v="WC-3042 (Crane)"/>
    <s v="Cranes"/>
    <m/>
    <m/>
    <m/>
    <m/>
    <m/>
    <s v="HCTC Maintenance"/>
    <s v="SERVICABLE – REPAIR (in-house)"/>
    <s v="MECHANICAL"/>
    <s v="TBD"/>
    <s v="HCTC Maintenance notified. _x000d__x000a_2/27/2018: Reset the power and the error cleared. EMR. Closed."/>
    <s v="Stopped Test"/>
    <m/>
    <m/>
  </r>
  <r>
    <s v="EMR-293"/>
    <s v="Gas booster not cycling. No pressure."/>
    <x v="0"/>
    <s v="2"/>
    <s v="Anthony Ramos"/>
    <s v="Patrick Hooten"/>
    <x v="47"/>
    <d v="2018-09-10T00:00:00"/>
    <n v="195"/>
    <s v="CELL17"/>
    <s v="Medium Bay"/>
    <s v="Gas Booster AG-303 (5585423-7)"/>
    <s v="Gas Booster"/>
    <s v="Haskel"/>
    <s v="AG-303"/>
    <s v="5585423-7"/>
    <n v="0"/>
    <n v="0"/>
    <s v="HCTC Maintenance"/>
    <s v="Serviceable – Repair (In-House)"/>
    <s v="PNEUMATIC (leaks, valves, seals, etc.)"/>
    <s v="TBD"/>
    <s v="HCTC Maintenance has replacement parts on order. Check status._x000d__x000a_This unit did not have many hours on it so we pulled the pneumatic  shuttle spool and cleaned it. This unit is back in service._x000d__x000a__x000d__x000a_"/>
    <s v="Stopped Test"/>
    <s v="N/A"/>
    <m/>
  </r>
  <r>
    <s v="EMR-294"/>
    <s v="Unit will not run.  Alarm ( SYS1 HILO PSI)"/>
    <x v="0"/>
    <s v="2"/>
    <s v="Carl Haenel"/>
    <m/>
    <x v="48"/>
    <d v="2018-04-26T00:00:00"/>
    <n v="57"/>
    <s v="PIT5"/>
    <s v="High Bay"/>
    <s v="CSZ Thermal Chamber"/>
    <s v="Temperature Control Unit"/>
    <m/>
    <m/>
    <m/>
    <m/>
    <m/>
    <s v="Carl Haenel"/>
    <s v="SERVICABLE – REPAIR (contractor)"/>
    <s v="HYDRAULIC (leaks, valves, seals, etc.)"/>
    <s v="OPERATING BEYOND DESIGN LIMITS"/>
    <s v="2/28/2018 (Carl):  I have contacted EMS._x000d__x000a__x000d__x000a_3/1/2018 (Carl): EMS came out and found the chiller water level was low and air was in the system. There may be a possible leak in the system. EMS has not been able to locate a leak as of now. A solution to this is obviously find the leak but EMS also suggested an auto fill and air relief feature that can be installed. This is common practice in other industries._x000d__x000a__x000d__x000a_4/26/18: Initial issues addressed in February. Another action will address quote for modifications"/>
    <s v="Stopped Test"/>
    <m/>
    <m/>
  </r>
  <r>
    <s v="EMR-295"/>
    <s v="All system pressures are dumped (valves in de-energized state) when the Manifold Door Safety Interlock is removed. This should not happen if the manifold room pressures are bled off. To enter the manifold room without bleed of all pressures, the override key must remain installed. _x000d__x000a_This was first observed in September, 2017 but was inadvertenly overlooked in the early stages of the EMR system."/>
    <x v="1"/>
    <s v="1"/>
    <s v="Jimmie Dowd"/>
    <s v="Jimmie Dowd"/>
    <x v="48"/>
    <m/>
    <n v="216.84"/>
    <s v="CELLS (7-8)_(15-22)"/>
    <s v="Medium Bay"/>
    <s v="Manifold Door Safety Interlock"/>
    <s v="Safety Interlock"/>
    <m/>
    <s v="None"/>
    <s v="None"/>
    <n v="0"/>
    <n v="0"/>
    <s v="HCTC Maintenance"/>
    <s v="System Modification"/>
    <s v="ELECTRICAL (Controls)"/>
    <s v="INSTALLATION ERROR"/>
    <s v="There was a relay fix to this problem implemented back in March with the help of CAE and John from Erdosmiller. It was tested in CELL8. Additional relays have been purchased and are ready to be installed at the remaining test cells. The relays are in CSP inventory. The system-component name for this EMR has been changed to Manifold Door Safety Interlock."/>
    <s v="Potential Impact"/>
    <s v="N/A"/>
    <m/>
  </r>
  <r>
    <s v="EMR-296"/>
    <s v="At 7:30 oxygen reading sensor not working. Not displaying values. Audible alarm operates erratically. "/>
    <x v="0"/>
    <s v="TBD"/>
    <s v="Buenaventura Gomez"/>
    <m/>
    <x v="49"/>
    <d v="2018-03-28T00:00:00"/>
    <n v="27"/>
    <s v="PIT4"/>
    <s v="High Bay"/>
    <s v="O2 Sensor (PIT4)"/>
    <s v="Oxygen Monitoring"/>
    <m/>
    <m/>
    <m/>
    <m/>
    <m/>
    <s v="Jimmie Dowd"/>
    <s v="SERVICABLE – REPAIR (contractor)"/>
    <s v="ELECTRICAL (Controls)"/>
    <s v="COMPONENT WEAR &amp; TEAR"/>
    <s v="3/27/18: TDB Inc.(electrical contractor) checked the unit and determined it was a loose connection. It has been repaired. Unit is operational. EMR Closed._x000d__x000a_Note: TDB Inc. did the electricial work for the monitors when they were installed at the Pits."/>
    <s v="Safety Hazard"/>
    <m/>
    <m/>
  </r>
  <r>
    <s v="EMR-297"/>
    <s v="When pressure is applied to one side of the 2” Hydac ball valve it become extremely difficult to open. When you apply force to the ball valve handle it begins to bend and twist at the connection to the stem, and if enough force is applied the handle breaks off. The stem is also twisting and the only way to open the ball valve is to apply back pressure to the valve to lessen the pressure differential. Seats also wash out and begin leaking fairly quickly. "/>
    <x v="0"/>
    <s v="2"/>
    <s v="Josh Krobot"/>
    <s v="Jimmie Dowd"/>
    <x v="50"/>
    <d v="2018-04-18T00:00:00"/>
    <n v="44"/>
    <s v="DC-2"/>
    <s v="Low Bay"/>
    <s v="Ball Valve-HYDAC (Drilling Controls)"/>
    <s v="Ball Valve"/>
    <s v="HYDAC"/>
    <s v="KHM3H-SP-2SW-3312"/>
    <s v="N/A"/>
    <m/>
    <m/>
    <s v="HCTC Systems Group"/>
    <s v="SERVICABLE – REPAIR (in-house)"/>
    <s v="HYDRAULIC (leaks, valves, seals, etc.)"/>
    <s v="COMPONENT WEAR &amp; TEAR"/>
    <s v="Hydac needs to be informed of the issue and a more robust stem and handle need to be install to all existing ball valve on site. Ball valve repair kits should be ordered which include new seats and o-rings. These need to be kept on hand to replace leaky valves._x000d__x000a_3/6/18 (Carrillo):I have already made contact with the vendor, they are working on getting samples for us to test at HCTC._x000d__x000a_4/18/18 (Frenzel): I recommend we close this EMR due to lack of evidence. The valve has apparently been repaired and replaced and the damaged parts discarded. The manufacturer is asking questions about the condition of the seat to help identify the failure mode that cannot be answered. We aren’t very likely to identify the culprit without a corpus-delecti. We can assign another EMR when it fails next. I am continuing my dialog with the vendor and initiating contact with alternates but there is no point to having an open EMR. When it happens again, we can respond._x000d__x000a_"/>
    <s v="Delayed Test"/>
    <s v="N/A"/>
    <m/>
  </r>
  <r>
    <s v="EMR-298"/>
    <s v="Regulator failure. Unable to pressure up. Test stopped as a result."/>
    <x v="0"/>
    <s v="3"/>
    <s v="Mike Watkins"/>
    <m/>
    <x v="51"/>
    <d v="2018-04-12T00:00:00"/>
    <n v="36"/>
    <s v="CELL18"/>
    <s v="Medium Bay"/>
    <s v="Vescor Pump W-11"/>
    <s v="Hydraulic Pump"/>
    <m/>
    <m/>
    <m/>
    <m/>
    <m/>
    <s v="HCTC Systems Group"/>
    <s v="SERVICABLE – REPAIR (in-house)"/>
    <s v="HYDRAULIC (leaks, valves, seals, etc.)"/>
    <s v="TBD"/>
    <s v="Attempting to find replacement. Spare regulator and rebuild kits to be ordered._x000d__x000a_4/10/2018: Installed new regulator._x000d__x000a_"/>
    <s v="Stopped Test"/>
    <m/>
    <m/>
  </r>
  <r>
    <s v="EMR-299"/>
    <s v="Bunker door control box fuse is blown. "/>
    <x v="0"/>
    <s v="TBD"/>
    <s v="Anthony Ramos"/>
    <m/>
    <x v="52"/>
    <d v="2018-03-13T00:00:00"/>
    <n v="0"/>
    <s v="CELL22"/>
    <s v="Medium Bay"/>
    <s v="Bunker Door"/>
    <s v="HSE System"/>
    <m/>
    <m/>
    <m/>
    <m/>
    <m/>
    <s v="HCTC Maintenance"/>
    <s v="SERVICABLE – REPAIR (in-house)"/>
    <s v="ELECTRICAL (Power)"/>
    <s v="COMPONENT WEAR &amp; TEAR"/>
    <s v="3/13/18: Fuse to be replaced. Spares on order._x000d__x000a_3/13/18 (HCTC Maintenance): We found a loose wire on the incoming power that we believe is what caused the fuse to blow. Pat and I replaced the fuse and also wrapped electrical tape around the incoming power switch to keep the wire from getting pulled out when the panel door is opened. _x000d__x000a_The proximity switch that shows lock , ( right switch ) was flickering and Pat turned it in 1 ½ turns in to get a steady light._x000d__x000a_Door lock and unlocking is now working.   Rigo / Pat_x000d__x000a_"/>
    <s v="Potential Impact"/>
    <m/>
    <m/>
  </r>
  <r>
    <s v="EMR-300"/>
    <s v="CELL17 check valve (CKO9900) is leaking at Z3-LQD-PT2."/>
    <x v="1"/>
    <s v="2"/>
    <s v="Anthony Ramos"/>
    <s v="Jimmie Dowd"/>
    <x v="52"/>
    <m/>
    <n v="203.84"/>
    <s v="CELL17"/>
    <s v="Medium Bay"/>
    <s v="Check Valve (CKO9900)"/>
    <s v="Check Valve"/>
    <s v="Parker Autoclave Engineers"/>
    <s v="CKO9900"/>
    <m/>
    <n v="0"/>
    <n v="0"/>
    <s v="HCTC Maintenance"/>
    <s v="SERVICABLE – REPAIR (in-house)"/>
    <s v="HYDRAULIC (leaks, valves, seals, etc.)"/>
    <s v="COMPONENT WEAR &amp; TEAR"/>
    <s v="Check with Chris and Anthony on this issue."/>
    <s v="Minimal"/>
    <s v="N/A"/>
    <m/>
  </r>
  <r>
    <s v="EMR-301"/>
    <s v="Unable to locate thermocouple certification documents in certs folder. The thermocouple information is captured in the test configuration file but the certifications are no where to be found on the PC or CRIO."/>
    <x v="0"/>
    <s v="2"/>
    <s v="Anthony Ramos"/>
    <s v="Jimmie Dowd"/>
    <x v="52"/>
    <d v="2018-05-29T00:00:00"/>
    <n v="77"/>
    <s v="CELL17"/>
    <s v="Medium Bay"/>
    <s v="DAQ-CTRL System Software"/>
    <s v="DAQ-CTRL System I/O"/>
    <m/>
    <s v="N/A"/>
    <s v="N/A"/>
    <m/>
    <m/>
    <s v="John Amstadt (Erdosmiller)"/>
    <s v="Serviceable – Repair (Contractor)"/>
    <s v="Unable to locate sensor certification documents"/>
    <s v="DAQ Software Bug"/>
    <s v="5/25/18: Found bug preventing cert generator from receiving TC data and pressure gauge data. Fixed._x000a_8/23/18: Software was not correctly identifying thermocouple barcodes as thermocouples. Was treating them as errors."/>
    <s v="Potential Impact"/>
    <s v="N/A"/>
    <m/>
  </r>
  <r>
    <s v="EMR-302"/>
    <s v="The PC at pit 1 is locked out due to having been off the network too long._x000d__x000a_Will not allow any login._x000d__x000a_"/>
    <x v="0"/>
    <s v="TBD"/>
    <s v="Robert Frenzel"/>
    <m/>
    <x v="53"/>
    <d v="2018-03-19T00:00:00"/>
    <n v="3"/>
    <s v="PIT1"/>
    <s v="High Bay"/>
    <s v="Console Computer"/>
    <s v="Control Console"/>
    <m/>
    <m/>
    <m/>
    <m/>
    <m/>
    <s v="IT"/>
    <s v="System Modification"/>
    <s v="COMPUTER ANOMALY"/>
    <s v="MODIFICATION or UPGRADE"/>
    <s v="Submitted IT ticket._x000d__x000a_3/19/18: IT unlocked the computer. EMR is Closed."/>
    <s v="Potential Impact"/>
    <m/>
    <m/>
  </r>
  <r>
    <s v="EMR-303"/>
    <s v="3/15/2018 (Tyler):  ONLY ONE 50/60 AMP DISCONNECT AVAILABLE AT TEST CELL 13. WILL BE RUNNING PUMP AND BEMCO AT THE SAME TIME- CAN PULL POWER FROM 14 WITH A PROPER EXTENSION BUT 14 WILL BE OUT OF POWER. "/>
    <x v="0"/>
    <s v="TBD"/>
    <s v="Glen Tyler"/>
    <m/>
    <x v="53"/>
    <d v="2018-04-12T00:00:00"/>
    <n v="27"/>
    <s v="CELL13"/>
    <s v="Medium Bay"/>
    <s v="480VAC Electrical Service"/>
    <s v="Electrical Service"/>
    <m/>
    <m/>
    <m/>
    <m/>
    <m/>
    <s v="HCTC Maintenance"/>
    <s v="HARDWARE UPGRADE REQUIRED"/>
    <m/>
    <s v="MODIFICATION or UPGRADE"/>
    <s v="3/16/18 (Dowd): This is an Upgrade request for CELL13 and CELL14: Adding additional 60 AMP disconnects for those CELLS. Should also consider a 100 AMP disconnect. HCTC management would have to approve the funding or we will make the project pay for it._x000d__x000a__x000d__x000a_3/16/18 (Friedrich): Myself and my electricians will view the additional required services and install to save money._x000d__x000a_We will see what the project details. If materials are required, I will enter a requisition for Dan to approve._x000d__x000a__x000d__x000a_ "/>
    <s v="Potential Impact"/>
    <m/>
    <m/>
  </r>
  <r>
    <s v="EMR-304"/>
    <s v="RELIEF VALVE LEAK _x000d__x000a_Relief valve P/N per C-Automation engineering BOM (document number 1957-01-BOM Rev. 00): _x000d__x000a_L5349T-4PP-8250 _x000d__x000a_MFR: CIRCOR_x000d__x000a_1/2&quot; NPT RELIEF VALVE, 316 SST, SET @ 8250 PSI "/>
    <x v="0"/>
    <s v="2"/>
    <s v="Carl Haenel"/>
    <m/>
    <x v="54"/>
    <d v="2018-06-13T00:00:00"/>
    <n v="90"/>
    <s v="PIT4"/>
    <s v="High Bay"/>
    <s v="Control Pod (PIT4)"/>
    <s v="Manifold Valve"/>
    <m/>
    <m/>
    <m/>
    <m/>
    <m/>
    <s v="HCTC Maintenance"/>
    <s v="SERVICABLE – REPAIR (in-house)"/>
    <s v="HYDRAULIC (leaks, valves, seals, etc.)"/>
    <s v="COMPONENT WEAR &amp; TEAR"/>
    <s v="REPLACEMENT IS ON ORDER ALONG WITH REBUILD KITS FOR FUTURE."/>
    <s v="Potential Impact"/>
    <m/>
    <m/>
  </r>
  <r>
    <s v="EMR-305"/>
    <s v="The plexiglass on the triplex pumps needs to be sealed with sealant, to be air tight. Debris and water can get into the pump with the unsealed plexiglass."/>
    <x v="0"/>
    <s v="2"/>
    <s v="Efrain Martinez"/>
    <m/>
    <x v="55"/>
    <d v="2018-06-01T00:00:00"/>
    <n v="74"/>
    <s v="Low Bay"/>
    <s v="Low Bay"/>
    <s v="Triplex Pumps (Drilling Controls)"/>
    <s v="Hydraulic Pump"/>
    <m/>
    <m/>
    <m/>
    <m/>
    <m/>
    <s v="HCTC Maintenance"/>
    <s v="SERVICABLE – REPAIR (in-house)"/>
    <s v="N/A-Preventive Maintenance Action"/>
    <s v="COMPONENT WEAR &amp; TEAR"/>
    <s v="Assigned to HCTC maintenance."/>
    <m/>
    <m/>
    <m/>
  </r>
  <r>
    <s v="EMR-306"/>
    <s v="This is an Upgrade Maintenance request. _x000d__x000a_Pump Disconnect For Reliability Sump Pump. Install Power Disconnect for Sump Pump Control Box Sump Pump DC-5 (Reliability Bunker)._x000d__x000a_"/>
    <x v="0"/>
    <s v="TBD"/>
    <s v="Jimmie Dowd"/>
    <m/>
    <x v="55"/>
    <d v="2018-04-16T00:00:00"/>
    <n v="28"/>
    <s v="DC-5"/>
    <s v="Low Bay"/>
    <s v="480VAC Electrical Service"/>
    <s v="Electrical Service"/>
    <m/>
    <m/>
    <m/>
    <m/>
    <m/>
    <s v="HCTC Maintenance"/>
    <s v="System Installation"/>
    <m/>
    <s v="MODIFICATION or UPGRADE"/>
    <s v="HCTC Maintenance action. _x000d__x000a_4/13/2018: Hello Jimmie, Pat and I have run power to the south wall for the pump. Rigo"/>
    <m/>
    <m/>
    <m/>
  </r>
  <r>
    <s v="EMR-307"/>
    <s v="Water filter installation required for the Waller Bunkers (CELLS (1 through 6) and CELLS 23 through 24."/>
    <x v="0"/>
    <s v="2"/>
    <s v="Jimmie Dowd"/>
    <s v="Jimmie Dowd"/>
    <x v="56"/>
    <d v="2018-09-10T00:00:00"/>
    <n v="173"/>
    <s v="CELLS (1-6)_(23-24)"/>
    <s v="Medium Bay"/>
    <s v="Water Filter (6PAU1)"/>
    <s v="Water Filter"/>
    <m/>
    <s v="BSSB10-3/4SD"/>
    <s v="N/A"/>
    <n v="0"/>
    <n v="0"/>
    <s v="Ben Hogan"/>
    <s v="System Installation"/>
    <s v="N/A-No Failure"/>
    <s v="MODIFICATION or UPGRADE"/>
    <s v="Will need to coordinate with the plumbing contractors for installation of the filters. _x000d__x000a_This is the same make and model used in CELLS(7-8)_(15-22). _x000d__x000a_P/N: 6PAU1_x000d__x000a_Model Number: BSSB10-3/4SD_x000d__x000a_3/22/18: PO 4511856226 issued for the 6PAU1 - FILTER HOUSING._x000d__x000a__x000d__x000a_4/26/18: Filiters ordered and installation underway by plumbing contractor._x000d__x000a_"/>
    <s v="N/A-Not Applicable"/>
    <s v="N/A"/>
    <m/>
  </r>
  <r>
    <s v="EMR-308"/>
    <s v="Seal on pump are burning out do to N4/return tank creating a vortex when the fluid level gets low than the pump starts sucking air and we lose prime to the pump then the seals get burned out."/>
    <x v="0"/>
    <s v="TBD"/>
    <s v="Efrain Martinez"/>
    <m/>
    <x v="57"/>
    <d v="2018-04-12T00:00:00"/>
    <n v="21"/>
    <s v="DC-1"/>
    <s v="Low Bay"/>
    <s v="Circ_Pump(CRN15-03-A-FGJ-G-V-HQQV)"/>
    <s v="Hydraulic Pump"/>
    <m/>
    <m/>
    <m/>
    <m/>
    <m/>
    <s v="HCTC Maintenance"/>
    <s v="SERVICABLE – REPAIR (in-house)"/>
    <s v="HYDRAULIC (leaks, valves, seals, etc.)"/>
    <s v="COMPONENT WEAR &amp; TEAR"/>
    <s v="I had to change the suction line inside of the N4/return tank so this don’t happen again.  _x000d__x000a_Need to order seal kit P/N 96511845._x000d__x000a__x000d__x000a_4/9/18: Rebuild kits received."/>
    <m/>
    <m/>
    <m/>
  </r>
  <r>
    <s v="EMR-309"/>
    <s v="The fine tune settings on the plc not working after pressure entry it only displays pound sign."/>
    <x v="0"/>
    <s v="2"/>
    <s v="Robert Galvan"/>
    <s v="Jimmie Dowd"/>
    <x v="58"/>
    <d v="2018-09-10T00:00:00"/>
    <n v="174"/>
    <s v="PIT5"/>
    <s v="High Bay"/>
    <s v="PLC (PIT5)"/>
    <s v="DAQ-CTRL System"/>
    <m/>
    <m/>
    <m/>
    <n v="0"/>
    <n v="0"/>
    <s v="C-Automation"/>
    <s v="SERVICABLE – REPAIR (contractor)"/>
    <s v="PLC Software"/>
    <s v="MODIFICATION or UPGRADE"/>
    <s v="Carl called C-Automation._x000d__x000a_5/16/18: Closed."/>
    <s v="Stopped Test"/>
    <s v="N/A"/>
    <m/>
  </r>
  <r>
    <s v="EMR-310"/>
    <s v="Crane making some weird noise when trying to use it."/>
    <x v="0"/>
    <s v="2"/>
    <s v="Efrain Martinez"/>
    <m/>
    <x v="56"/>
    <d v="2018-04-26T00:00:00"/>
    <n v="36"/>
    <s v="W.C. 3037 (Crane)"/>
    <s v="Low Bay"/>
    <s v="W.C. 3037 (Crane)"/>
    <s v="Cranes"/>
    <m/>
    <m/>
    <m/>
    <m/>
    <m/>
    <s v="HCTC Maintenance"/>
    <s v="TBD"/>
    <s v="MECHANICAL"/>
    <s v="TBD"/>
    <s v="HCTC Maintenance troubleshooting._x000d__x000a_4/26/18: Maintenance corrective action."/>
    <m/>
    <m/>
    <m/>
  </r>
  <r>
    <s v="EMR-311"/>
    <s v="The three new TCUs need extension cords for operation._x000d__x000a_The plugs on the TCU cabinet use yellow 30A, 480VAC, 3ph Hubbell connectors. These were removed from the Waller TCUs and can be used for extension cords._x000d__x000a_Alternately, cords can be permanently attached to reduce the hazard of exposed power when not connected to the TCUs._x000d__x000a_These were not supplied with the TCUs._x000d__x000a_"/>
    <x v="0"/>
    <s v="TBD"/>
    <s v="Robert Frenzel"/>
    <m/>
    <x v="59"/>
    <d v="2018-03-28T00:00:00"/>
    <n v="5"/>
    <s v="Temperature Control Unit (mobile)"/>
    <s v="Medium Bay"/>
    <s v="Russells Unit-1"/>
    <s v="Temperature Control Unit"/>
    <m/>
    <m/>
    <m/>
    <m/>
    <m/>
    <s v="HCTC Maintenance"/>
    <s v="System Modification"/>
    <m/>
    <s v="MODIFICATION or UPGRADE"/>
    <s v="Please create 15ft extension cords for these TCUs to be converted to permanently attached cords at a later time._x000d__x000a_3/27/2018: Completed."/>
    <m/>
    <m/>
    <m/>
  </r>
  <r>
    <s v="EMR-312"/>
    <s v="The three new TCUs need extension cords for operation._x000d__x000a_The plugs on the TCU cabinet use yellow 30A, 480VAC, 3ph Hubbell connectors. These were removed from the Waller TCUs and can be used for extension cords._x000d__x000a_Alternately, cords can be permanently attached to reduce the hazard of exposed power when not connected to the TCUs._x000d__x000a_These were not supplied with the TCUs._x000d__x000a_"/>
    <x v="0"/>
    <s v="TBD"/>
    <s v="Robert Frenzel"/>
    <m/>
    <x v="59"/>
    <d v="2018-03-28T00:00:00"/>
    <n v="5"/>
    <s v="Temperature Control Unit (mobile)"/>
    <s v="Medium Bay"/>
    <s v="Russells Unit-2"/>
    <s v="Temperature Control Unit"/>
    <m/>
    <m/>
    <m/>
    <m/>
    <m/>
    <s v="HCTC Maintenance"/>
    <s v="System Modification"/>
    <m/>
    <s v="MODIFICATION or UPGRADE"/>
    <s v="Please create 15ft extension cords for these TCUs to be converted to permanently attached cords at a later time._x000d__x000a_3/27/2018: Completed."/>
    <m/>
    <m/>
    <m/>
  </r>
  <r>
    <s v="EMR-313"/>
    <s v="The three new TCUs need extension cords for operation._x000d__x000a_The plugs on the TCU cabinet use yellow 30A, 480VAC, 3ph Hubbell connectors. These were removed from the Waller TCUs and can be used for extension cords._x000d__x000a_Alternately, cords can be permanently attached to reduce the hazard of exposed power when not connected to the TCUs._x000d__x000a_These were not supplied with the TCUs._x000d__x000a_"/>
    <x v="0"/>
    <s v="TBD"/>
    <s v="Robert Frenzel"/>
    <m/>
    <x v="59"/>
    <d v="2018-03-28T00:00:00"/>
    <n v="5"/>
    <s v="Temperature Control Unit (mobile)"/>
    <s v="Medium Bay"/>
    <s v="Russells Unit-3"/>
    <s v="Temperature Control Unit"/>
    <m/>
    <m/>
    <m/>
    <m/>
    <m/>
    <s v="HCTC Maintenance"/>
    <s v="System Modification"/>
    <m/>
    <s v="MODIFICATION or UPGRADE"/>
    <s v=" Please create 15ft extension cords for these TCUs to be converted to permanently attached cords at a later time._x000d__x000a_3/27/2018: Completed."/>
    <m/>
    <m/>
    <m/>
  </r>
  <r>
    <s v="EMR-314"/>
    <s v="Bubble port E is not receiving any communication from software."/>
    <x v="0"/>
    <s v="2"/>
    <s v="C.J. Dennison"/>
    <m/>
    <x v="60"/>
    <d v="2018-05-31T00:00:00"/>
    <n v="66"/>
    <s v="CELL17"/>
    <s v="Medium Bay"/>
    <s v="Z1E-BMIV"/>
    <s v="Pneumatic Valve Assembly"/>
    <m/>
    <m/>
    <m/>
    <m/>
    <m/>
    <s v="HCTC Systems Group"/>
    <s v="TBD"/>
    <s v="TBD"/>
    <s v="TBD"/>
    <s v="Root cause could be one or more of the following: software I/O, PPC failure, valve actuator failure. _x000d__x000a_Trouble shooting in-work._x000d__x000a__x000d__x000a_"/>
    <m/>
    <m/>
    <s v="Do Not Use Port"/>
  </r>
  <r>
    <s v="EMR-315"/>
    <s v="Engineer reported that the data acquisition rate was not constant. The data acquisition rate varies between 1 and 3 seconds. "/>
    <x v="0"/>
    <s v="2"/>
    <s v="Jimmie Dowd"/>
    <s v="Jimmie Dowd"/>
    <x v="60"/>
    <d v="2018-05-29T00:00:00"/>
    <n v="64"/>
    <s v="CELL18"/>
    <s v="Medium Bay"/>
    <s v="DAQ-CTRL System Software"/>
    <s v="DAQ-CTRL System I/O"/>
    <m/>
    <s v="N/A"/>
    <s v="N/A"/>
    <m/>
    <m/>
    <s v="John Amstadt (Erdosmiller)"/>
    <s v="Software Modification"/>
    <s v="DAQ system data logging not consistant"/>
    <s v="DAQ Software Buffer"/>
    <s v="5/25/18: Moved file writes to another thread to prevent file writes taking longer than loop cycle. Fixed._x000a_8/23/18: cRIO could not keep up with file i/o. Modified software to buffer log data and write entire buffer at slower intervals."/>
    <s v="Potential Impact"/>
    <s v="N/A"/>
    <m/>
  </r>
  <r>
    <s v="EMR-316"/>
    <s v="PPC opens/closes valves just fine for supply/vent but would not scale correctly for PID funtions to use bleed down or setpoint controls.  There could be an issue with the scaling of the internal transducer."/>
    <x v="0"/>
    <s v="2"/>
    <s v="Chris Goodwater"/>
    <m/>
    <x v="61"/>
    <d v="2018-06-07T00:00:00"/>
    <n v="70"/>
    <s v="CELL8"/>
    <s v="Medium Bay"/>
    <s v="Z1A-PPC"/>
    <s v="Proportional Pressure Controller"/>
    <m/>
    <m/>
    <m/>
    <m/>
    <m/>
    <s v="HCTC Systems Group"/>
    <s v="System Modification"/>
    <m/>
    <m/>
    <s v=" Chris and Bob to develop a test bench to test adjusting the PPCs internal transducer scaling._x000d__x000a_6/7/18: Issue concluded when last update to software was deployed. Issue moot. Discussed with Chris and Bench tests were deemed unnecessary._x000d__x000a_"/>
    <m/>
    <m/>
    <m/>
  </r>
  <r>
    <s v="EMR-317"/>
    <s v=" Bad aftermarket Network card on Cell 16. Will not communicate."/>
    <x v="0"/>
    <s v="TBD"/>
    <s v="Robert Frenzel"/>
    <m/>
    <x v="62"/>
    <d v="2018-04-26T00:00:00"/>
    <n v="23"/>
    <m/>
    <s v="Medium Bay"/>
    <s v="Console Computer"/>
    <s v="Control Console"/>
    <m/>
    <m/>
    <m/>
    <m/>
    <m/>
    <s v="HCTC Systems Group"/>
    <s v="SERVICABLE – REPAIR (contractor)"/>
    <s v="COMPUTER ANOMALY"/>
    <s v="Component Defect"/>
    <s v="Return to CAE for replacement._x000d__x000a__x000d__x000a_4/26/18: Network card returned for replacement."/>
    <m/>
    <m/>
    <s v="PC anomalies may result in loss of manifold control and loss of data visibility."/>
  </r>
  <r>
    <s v="EMR-318"/>
    <s v="Unit does not power up. "/>
    <x v="0"/>
    <s v="2"/>
    <s v="Anthony Ramos"/>
    <m/>
    <x v="62"/>
    <d v="2018-04-26T00:00:00"/>
    <n v="23"/>
    <s v="Temperature Control Unit (mobile)"/>
    <s v="Medium Bay"/>
    <s v="Bemco Unit -5"/>
    <s v="Temperature Control Unit"/>
    <m/>
    <m/>
    <m/>
    <m/>
    <m/>
    <s v="HCTC Systems Group"/>
    <s v="SERVICABLE – REPAIR (in-house)"/>
    <s v="ELECTRICAL (Power)"/>
    <s v="Component Defect"/>
    <s v="Troubleshoot power circuits. Possible blown fuse._x000d__x000a_4/5/18: Replacement relays ordered. Substitute relya provided by HCTC Maintenance."/>
    <s v="Delayed Test"/>
    <m/>
    <m/>
  </r>
  <r>
    <s v="EMR-319"/>
    <s v="Pod open/close Pacseal valve leaking."/>
    <x v="0"/>
    <s v="TBD"/>
    <s v="Carl Haenel"/>
    <s v="Jimmie Dowd"/>
    <x v="63"/>
    <d v="2018-08-08T00:00:00"/>
    <n v="125"/>
    <s v="PIT3"/>
    <s v="High Bay"/>
    <s v="Control Pod (PIT3)"/>
    <s v="Manifold "/>
    <m/>
    <m/>
    <m/>
    <n v="0"/>
    <n v="0"/>
    <s v="HCTC Maintenance"/>
    <s v="SERVICABLE – REPAIR (in-house)"/>
    <s v="HYDRAULIC (leaks, valves, seals, etc.)"/>
    <s v="COMPONENT WEAR &amp; TEAR"/>
    <s v="Major Repair Kit for the KR-140 X76H-3 Regulator arrived 7/6/2018."/>
    <s v="Delayed Test"/>
    <s v="N/A"/>
    <m/>
  </r>
  <r>
    <s v="EMR-320"/>
    <s v=" Need power cabling run for test equipment;_x000d__x000a_120VAC, 1ph, &lt;2A_x000d__x000a_480VAC, 3ph, 15A_x000d__x000a_"/>
    <x v="0"/>
    <s v="TBD"/>
    <s v="Robert Frenzel"/>
    <m/>
    <x v="64"/>
    <d v="2018-04-12T00:00:00"/>
    <n v="6"/>
    <s v="CELL19"/>
    <s v="Medium Bay"/>
    <s v="480VAC Electrical Service"/>
    <s v="Electrical Power"/>
    <m/>
    <m/>
    <m/>
    <m/>
    <m/>
    <s v="HCTC Maintenance"/>
    <s v="System Modification"/>
    <m/>
    <s v="MODIFICATION or UPGRADE"/>
    <s v=" 120VAC 14ga, 2/1 with male plug one end, flying leads other end_x000d__x000a_480VAC, 3ph, 15A, Need compatible plug installed and perhaps extension with socket. _x000d__x000a_Test engineer arriving 4/6 for consultation._x000d__x000a_"/>
    <m/>
    <m/>
    <m/>
  </r>
  <r>
    <s v="EMR-321"/>
    <s v="SINET data ports 34A and 35A for cell 20 have firewall disabled and reconfigured for a test on cell 19 in error._x000d__x000a_Test 049-18 will use data ports from cell 20 for the duration of the test on cell 19._x000d__x000a_Cell 16 data ports 34A and 35A no longer work with camera clients._x000d__x000a_No permission was given to reconfigure data ports._x000d__x000a_"/>
    <x v="1"/>
    <s v="2"/>
    <s v="Robert Frenzel"/>
    <s v="Jimmie Dowd"/>
    <x v="64"/>
    <m/>
    <n v="179.84"/>
    <s v="CELL20"/>
    <s v="Medium Bay"/>
    <s v="Console Computer"/>
    <s v="Control Console"/>
    <s v="TBD"/>
    <s v="TBD"/>
    <s v="N/A"/>
    <n v="0"/>
    <n v="0"/>
    <s v="IT"/>
    <s v="Serviceable – Repair (In-House)"/>
    <s v="N/A-System reconfigured to support test plan"/>
    <s v="OPERATING BEYOND DESIGN LIMITS"/>
    <s v="Reconfigure data port firewall on cell 20 upon completion of 049-18._x000d__x000a_5/16/18 (Dowd): Reconfigure following TP049-18."/>
    <s v="Potential Impact"/>
    <s v="N/A"/>
    <s v="PC anomalies may result in loss of manifold control and loss of data visibility."/>
  </r>
  <r>
    <s v="EMR-322"/>
    <s v=" Erratic readings on O2 sensor. Reading 19.5 to 20.3 and alarming on and off."/>
    <x v="0"/>
    <s v="2"/>
    <s v="Carl Haenel"/>
    <m/>
    <x v="65"/>
    <d v="2018-06-01T00:00:00"/>
    <n v="63"/>
    <s v="PIT2"/>
    <s v="High Bay"/>
    <s v="O2 Sensor (Test Pit-2)"/>
    <s v="Oxygen Monitoring"/>
    <m/>
    <m/>
    <m/>
    <m/>
    <m/>
    <s v="HCTC Systems Group"/>
    <s v="SERVICABLE – REPAIR (contractor)"/>
    <s v="FAILED SENSOR"/>
    <s v="Component Defect"/>
    <s v="4/13/18: Contact JS Systems (vendor) to come out for troubleshooting and calibration._x000d__x000a_4/18/18: Defective O2 sensor. JS Systems scheduled to return on 4/26 to replace the O2 sensor._x000d__x000a_6/1/18: Sensor replaced."/>
    <s v="Delayed Test"/>
    <m/>
    <m/>
  </r>
  <r>
    <s v="EMR-323"/>
    <s v="Pump by passing and water coming out exhaust while trying to maintain pressure during temp. change-  External  pump needed at Hydro bays."/>
    <x v="0"/>
    <s v="2"/>
    <s v="Glen Tyler"/>
    <m/>
    <x v="66"/>
    <d v="2018-04-26T00:00:00"/>
    <n v="10"/>
    <s v="CELL14"/>
    <s v="Medium Bay"/>
    <s v="Haskel Pumps H-3"/>
    <s v="Hydraulic Pump"/>
    <m/>
    <m/>
    <m/>
    <m/>
    <m/>
    <s v="HCTC Maintenance"/>
    <s v="SERVICABLE – REPAIR (in-house)"/>
    <s v="HYDRAULIC (leaks, valves, seals, etc.)"/>
    <s v="COMPONENT WEAR &amp; TEAR"/>
    <s v="Take H3 offline for troubleshooting and repair. Check for spare pump in J26. _x000d__x000a_4/16/18: Spare pump available for use. H-3 to be bench tested and repaired as needed."/>
    <s v="Potential Impact"/>
    <m/>
    <m/>
  </r>
  <r>
    <s v="EMR-324"/>
    <s v=" MISV will not function.  We are still able to use test cell for test that require only one zone."/>
    <x v="0"/>
    <s v="2"/>
    <s v="Anthony Ramos"/>
    <m/>
    <x v="67"/>
    <m/>
    <m/>
    <s v="CELL22"/>
    <s v="Medium Bay"/>
    <s v="MISV"/>
    <s v="Pneumatic Valve Assembly"/>
    <m/>
    <m/>
    <m/>
    <m/>
    <m/>
    <s v="HCTC Systems Group"/>
    <s v="SERVICABLE – REPAIR (in-house)"/>
    <s v="TBD"/>
    <s v="TBD"/>
    <s v=" Need to trouble shoot and find the root cause of issue._x000a_5/16/18: Issue related to the relay corrosion found at CELL22. Relay blocks and relays have been replaced."/>
    <m/>
    <m/>
    <m/>
  </r>
  <r>
    <s v="EMR-325"/>
    <s v="HPU that runs the 4 pits has a fitting leaking and drained all the fluid out of the tank . This is the second or third time this fitting has leaked .  They just changed this fitting around three weeks ago . Also , the pump needs a low level alarm and shutoff switch . The way it is setup right now , the pump can run with no fluid until it burns up ."/>
    <x v="0"/>
    <s v="1"/>
    <s v="Neal Geisler "/>
    <s v="Jimmie Dowd"/>
    <x v="67"/>
    <d v="2018-04-18T00:00:00"/>
    <n v="1"/>
    <s v="High Bay"/>
    <m/>
    <s v="HPU (Drilling Pits)"/>
    <s v="Hydraulic Power Unit"/>
    <m/>
    <s v="None"/>
    <s v="None"/>
    <m/>
    <m/>
    <s v="C-Automation"/>
    <s v="Serviceable – Repair (Contractor)"/>
    <s v="HYDRAULIC (leaks, valves, seals, etc.)"/>
    <s v="Component Defect"/>
    <s v="C-Automation working on corrective action(s)._x000d__x000a_4/18/2018: Fitting replaced by C-Automation._x000d__x000a_Recommendation and Comments (Frenzel): Process systems prone to vibration or large temperature changes often include a loop in the line.The short piece of tubing in the existing transition is highly stressed because of being attached to a large pipe. A full 360degree loop in the tubing better isolates the vibration and reduces the stress at the connection. In this case, extra space will be needed by shortening other runs and introducing an offset equal to one tubing dia._x000d__x000a_Just a suggestion._x000d__x000a__x000d__x000a_"/>
    <s v="Delayed Test"/>
    <m/>
    <m/>
  </r>
  <r>
    <s v="EMR-326"/>
    <s v="Erratic alarm activation."/>
    <x v="0"/>
    <s v="2"/>
    <s v="Jimmie Dowd"/>
    <m/>
    <x v="68"/>
    <d v="2018-06-01T00:00:00"/>
    <n v="44"/>
    <s v="PIT4"/>
    <s v="High Bay"/>
    <s v="O2 Sensor (PIT4)"/>
    <s v="Oxygen Monitoring"/>
    <m/>
    <m/>
    <m/>
    <m/>
    <m/>
    <s v="JS Systems"/>
    <s v="SERVICABLE – REPAIR (contractor)"/>
    <s v="ELECTRICAL (Controls)"/>
    <s v="Component Defect"/>
    <s v="4/18/2018: Troubleshooting by JS Systems determined root cause is a defective circuit board in the ENMETmonitoring unit. JS Systems to return on 4/26 to replace the circuit board._x000d__x000a__x000d__x000a_6/1/18: Board replaced. EMR closed."/>
    <s v="Potential Impact"/>
    <m/>
    <m/>
  </r>
  <r>
    <s v="EMR-327"/>
    <s v="Z1-MVLIV not functioning."/>
    <x v="0"/>
    <s v="2"/>
    <s v="Anthony Ramos"/>
    <m/>
    <x v="68"/>
    <d v="2018-06-01T00:00:00"/>
    <n v="44"/>
    <s v="CELL22"/>
    <s v="Medium Bay"/>
    <s v="Z1-MVLIV"/>
    <s v="Pneumatic Valve Assembly"/>
    <m/>
    <m/>
    <m/>
    <m/>
    <m/>
    <s v="HCTC Systems Group"/>
    <s v="SERVICABLE – REPAIR (in-house)"/>
    <s v="ELECTRONIC COMPONENTS"/>
    <s v="COMPONENT WEAR &amp; TEAR"/>
    <s v="5/9/18 (Frenzel): This failure is related to the water ingress issue several weeks ago. Since the original report, other valves in this cell have failed progressively. Relay blocks and relays in the electrical enclosures that control these valves are corroding to the point of failure. Replacements parts have been ordered and are pending._x000d__x000a_Test cell 22 has been shut down until further notice. A lock-out-tag-out has been applied._x000d__x000a__x000d__x000a_The console computer from 22 will be moved to cell 16 so that testing can continue there._x000d__x000a_"/>
    <s v="Potential Impact"/>
    <m/>
    <s v="Unable to communicate Zone 1 and Zone 2 vent lines."/>
  </r>
  <r>
    <s v="EMR-328"/>
    <s v="This pump unable to reach 30kpsi.  It stops around 29,700psi.  we were able to reach test pressure by unlatching air solenoid and re initiating allowing pressure to step up in 50 psi increments.  This problem was repeated for each pressure up event."/>
    <x v="1"/>
    <s v="2"/>
    <s v="Chris Goodwater"/>
    <s v="Jimmie Dowd"/>
    <x v="69"/>
    <m/>
    <n v="166.84"/>
    <s v="CELL18"/>
    <s v="Medium Bay"/>
    <s v="P5"/>
    <s v="Hydraulic Pump"/>
    <s v="Parker Autoclave Engineers"/>
    <s v="ASL400-01SNP"/>
    <s v="N/A"/>
    <n v="0"/>
    <n v="0"/>
    <s v="HCTC Maintenance"/>
    <s v="Serviceable – Repair (In-House)"/>
    <s v="HYDRAULIC (leaks, valves, seals, etc.)"/>
    <s v="COMPONENT WEAR &amp; TEAR"/>
    <s v="Will need to determine if the cycle counters ordered for the gas booster will work for these pumps. "/>
    <s v="Potential Impact"/>
    <s v="N/A"/>
    <s v="External pump required for pressures &gt;38 KSI"/>
  </r>
  <r>
    <s v="EMR-329"/>
    <s v="During testing while recording around 5:30pm the computer froze and lost communication with crio.  We looked at data prior to restarting system and found that recording stopped at 2:16pm from the file that started around 2:00pm.  Test data there was lost._x000d__x000a_After multiple reboots of the computer and crio the problems continued and the msv valves are way out of scale and could not be corrected.  _x000d__x000a_This is the same computer that had a power surge months prior and this could be continued failure from that incident._x000d__x000a_"/>
    <x v="0"/>
    <s v="1"/>
    <s v="Chris Goodwater"/>
    <m/>
    <x v="70"/>
    <d v="2018-06-07T00:00:00"/>
    <n v="48"/>
    <s v="CELL18"/>
    <s v="Medium Bay"/>
    <s v="Console Computer"/>
    <s v="Control Console"/>
    <m/>
    <m/>
    <m/>
    <m/>
    <m/>
    <s v="HCTC Systems Group"/>
    <s v="NOT SERVICABLE-REPLACE"/>
    <s v="COMPUTER ANOMALY"/>
    <s v="Component Defect"/>
    <s v="6/7/18: Console PC has been replaced and cell 18 has been returned to service. Problem was defective motherboard per manufacturer._x000d__x000a__x000d__x000a__x000d__x000a__x000d__x000a__x000d__x000a__x000d__x000a_"/>
    <s v="Stopped Test"/>
    <m/>
    <s v="PC anomalies may result in loss of manifold control and loss of data visibility."/>
  </r>
  <r>
    <s v="EMR-330"/>
    <s v="Console keyboard slide drawer stops are broken. Drawer can pull out of the console causing potential foot injury despite PPE. "/>
    <x v="0"/>
    <s v="2"/>
    <s v="Jimmie Dowd"/>
    <m/>
    <x v="71"/>
    <d v="2018-05-11T00:00:00"/>
    <n v="17"/>
    <s v="PIT3"/>
    <s v="High Bay"/>
    <s v="Console Computer"/>
    <s v="Control Console"/>
    <m/>
    <m/>
    <m/>
    <m/>
    <m/>
    <s v="HCTC Maintenance"/>
    <s v="SERVICABLE – REPAIR (in-house)"/>
    <s v="MECHANICAL"/>
    <s v="Component Defect"/>
    <s v="Assigned to HCTC Maintenance._x000d__x000a__x000d__x000a_4/24/18: Closed."/>
    <s v="Safety Hazard"/>
    <m/>
    <m/>
  </r>
  <r>
    <s v="EMR-331"/>
    <s v="Screen saver automatically engages. Technician loses visibility of test data and cameras during testing. This is a distraction and hazard while running test."/>
    <x v="0"/>
    <s v="2"/>
    <s v="Jimmie Dowd"/>
    <m/>
    <x v="71"/>
    <d v="2018-05-11T00:00:00"/>
    <n v="17"/>
    <s v="PITS (1-5)"/>
    <s v="High Bay"/>
    <s v="Console Computer"/>
    <s v="Control Console"/>
    <m/>
    <m/>
    <m/>
    <m/>
    <m/>
    <s v="IT"/>
    <s v="System Modification"/>
    <m/>
    <s v="MODIFICATION or UPGRADE"/>
    <s v="The Screen Saver must be disabled at all test locations. Ticket submitted to IT._x000d__x000a_4/25/18: IT options: 1-For business/safety critical, create exemption in QUEST, where the first approver will be the service application owner (Application that requests no Screensaver running) and the second approver is the Security manager (Andy Holmes EUR,NAF,SCA,SSA - Martisto Satyanaraghana MEA,ASA  - Berris Bramble LAM, NAM)_x000d__x000a_2-purchase (download) the Transparent Screensaver for 50$, it was advised by IT Security End-Point manager. This locks the screen but gives the user visibility on screen activity. _x000d__x000a_Upon these recommendations, IT has closed the ticket (Incident INC000020326398)._x000d__x000a_ _x000d__x000a_5/2/18 (Robert Kercheval): Pits1-5 have screen savers have been disabled. "/>
    <s v="Potential Impact"/>
    <m/>
    <m/>
  </r>
  <r>
    <s v="EMR-332"/>
    <s v="WIRED WRONG , RUSSELL UNIT RUNS BACKWARDS AND HAS GREEN DOT"/>
    <x v="0"/>
    <s v="2"/>
    <s v="Glen Tyler"/>
    <m/>
    <x v="71"/>
    <d v="2018-04-25T00:00:00"/>
    <n v="1"/>
    <s v="CELL16"/>
    <s v="Medium Bay"/>
    <s v="480VAC Electrical Service"/>
    <s v="Electrical Service"/>
    <m/>
    <m/>
    <m/>
    <m/>
    <m/>
    <s v="HCTC Maintenance"/>
    <s v="SERVICABLE – REPAIR (in-house)"/>
    <s v="ELECTRICAL (Power)"/>
    <m/>
    <s v="Maintenance notified._x000d__x000a_4/25/2018 (Hooten): We changed the rotation at the disconnect. Completed"/>
    <s v="Potential Impact"/>
    <m/>
    <m/>
  </r>
  <r>
    <s v="EMR-333"/>
    <s v="Turning key off does not disable user inputs on manifold as it should.  Recently received a software update that could be the cause.  Not sure if this issue is shared for multiple test locations at this time."/>
    <x v="0"/>
    <s v="2"/>
    <s v="Chris Goodwater"/>
    <s v="Jimmie Dowd"/>
    <x v="72"/>
    <d v="2018-06-01T00:00:00"/>
    <n v="37"/>
    <s v="CELL20"/>
    <s v="Medium Bay"/>
    <s v="Operator Key Switch"/>
    <s v="Control Console"/>
    <m/>
    <s v="None"/>
    <s v="None"/>
    <n v="0"/>
    <n v="0"/>
    <s v="John Amstadt (Erdosmiller)"/>
    <s v="Software Modification"/>
    <s v="N/A-No Failure"/>
    <s v="MODIFICATION or UPGRADE"/>
    <s v="8/23/16: Not sure this requirement was in the SRS. Software hadn’t been written to operate the way operator was expecting. UI modified to meet the expected behavior._x000d__x000a_"/>
    <s v="Minimal"/>
    <s v="N/A"/>
    <m/>
  </r>
  <r>
    <s v="EMR-334"/>
    <s v=" The Evans unit for this test cell #16 has a leak on the incoming line"/>
    <x v="0"/>
    <s v="TBD"/>
    <s v="Patrick Hooten"/>
    <m/>
    <x v="72"/>
    <d v="2018-04-25T00:00:00"/>
    <n v="0"/>
    <s v="CELL16"/>
    <s v="Medium Bay"/>
    <s v="Evans Unit (C12-14_16 )"/>
    <s v="Water Reclamation Unit"/>
    <m/>
    <m/>
    <m/>
    <m/>
    <m/>
    <s v="HCTC Maintenance"/>
    <s v="SERVICABLE – REPAIR (in-house)"/>
    <s v="HYDRAULIC (leaks, valves, seals, etc.)"/>
    <s v="INSTALLATION ERROR"/>
    <s v=" We found that the PVC 90 had not been glued. We glued the fitting on to the pipe. Complete 4/25/18 "/>
    <m/>
    <m/>
    <m/>
  </r>
  <r>
    <s v="EMR-335"/>
    <s v="SAE Flange o-ring for the supply failed."/>
    <x v="0"/>
    <s v="2"/>
    <s v="Carl Haenel"/>
    <s v="Jimmie Dowd"/>
    <x v="72"/>
    <d v="2018-04-25T00:00:00"/>
    <n v="0"/>
    <s v="PIT5"/>
    <s v="High Bay"/>
    <s v="Control Pod (PIT5)"/>
    <s v="Manifold "/>
    <m/>
    <s v="None"/>
    <s v="None"/>
    <m/>
    <m/>
    <s v="C-Automation"/>
    <s v="Serviceable – Repair (Contractor)"/>
    <s v="HYDRAULIC (leaks, valves, seals, etc.)"/>
    <s v="Component Defect"/>
    <s v="C-automation replaced the o-ring. C-Automation also shifted the POD skid to better align the flange. Retapped threads and installed longer bolts."/>
    <s v="Stopped Test"/>
    <m/>
    <m/>
  </r>
  <r>
    <s v="EMR-336"/>
    <s v="Rotark cycling program needs to be uploaded for Test Plan 156-17. The baseline (standard) program is currently installed."/>
    <x v="0"/>
    <s v="1"/>
    <s v="Dave Mundell"/>
    <s v="Jimmie Dowd"/>
    <x v="73"/>
    <d v="2018-08-28T00:00:00"/>
    <n v="124"/>
    <s v="CELL15"/>
    <s v="Medium Bay"/>
    <s v="DAQ-CTRL System Software"/>
    <s v="DAQ-CTRL System I/O"/>
    <m/>
    <s v="N/A"/>
    <s v="N/A"/>
    <n v="0"/>
    <n v="0"/>
    <s v="John Amstadt (Erdosmiller)"/>
    <s v="Software Modification"/>
    <s v="N/A-No Failure"/>
    <s v="MODIFICATION or UPGRADE"/>
    <s v="John: Rotork is a separate branch of software and has not been fully merged into main software."/>
    <s v="Delayed Test"/>
    <s v="N/A"/>
    <m/>
  </r>
  <r>
    <s v="EMR-337"/>
    <s v="Need to have maintenance disconnect power cable to cabinet re-route and reconnect. "/>
    <x v="0"/>
    <s v="2"/>
    <s v="Anthony Ramos"/>
    <m/>
    <x v="74"/>
    <d v="2018-05-01T00:00:00"/>
    <n v="4"/>
    <s v="CELL19"/>
    <s v="Medium Bay"/>
    <s v="480VAC Electrical Service"/>
    <s v="Electrical Service"/>
    <m/>
    <m/>
    <m/>
    <m/>
    <m/>
    <s v="HCTC Maintenance"/>
    <s v="System Modification"/>
    <m/>
    <s v="MODIFICATION or UPGRADE"/>
    <s v="HCTC Maintenance notified._x000d__x000a_Completed._x000d__x000a_"/>
    <m/>
    <m/>
    <m/>
  </r>
  <r>
    <s v="EMR-338"/>
    <s v="(Courtney Julian): We are having some trouble with the data from the CamDAQ- every other row of the entire set of data is blank (see attached image). This is how the data is on my test cell (21) and the same for Andrew’s test cell (16), but I have heard that it is not behaving like this on other test cells."/>
    <x v="0"/>
    <s v="2"/>
    <s v="Courtney Julian"/>
    <s v="Jimmie Dowd"/>
    <x v="75"/>
    <d v="2018-05-03T00:00:00"/>
    <n v="1"/>
    <s v="CELL21"/>
    <s v="Medium Bay"/>
    <s v="DAQ-CTRL System Software"/>
    <s v="DAQ-CTRL System I/O"/>
    <m/>
    <s v="N/A"/>
    <s v="N/A"/>
    <m/>
    <m/>
    <s v="John Amstadt (Erdosmiller)"/>
    <s v="Software Modification"/>
    <s v="Incorrect Data Format"/>
    <s v="DAQ Software Bug"/>
    <s v="8/23/18: Added a line feed character in logger when it was unnecessary"/>
    <s v="Potential Impact"/>
    <s v="N/A"/>
    <m/>
  </r>
  <r>
    <s v="EMR-339"/>
    <s v=" CAMDAQ 1 UPS is dead and needs replacement."/>
    <x v="0"/>
    <s v="2"/>
    <s v="Carl Haenel"/>
    <m/>
    <x v="76"/>
    <d v="2018-05-04T00:00:00"/>
    <n v="1"/>
    <s v="PIT1"/>
    <s v="High Bay"/>
    <s v="UPS (Tripp-Lite)"/>
    <s v="Uninterruptible Power Supply (UPS) "/>
    <m/>
    <m/>
    <m/>
    <m/>
    <m/>
    <s v="HCTC Systems Group"/>
    <s v="NOT SERVICABLE-REPLACE"/>
    <s v="ELECTRICAL (Power)"/>
    <s v="COMPONENT WEAR &amp; TEAR"/>
    <s v="R&amp;R'd with spare. "/>
    <s v="Delayed Test"/>
    <m/>
    <m/>
  </r>
  <r>
    <s v="EMR-340"/>
    <s v="Loss of communication (ethernet) between the PC and the CSZ Thermal Chamber console. "/>
    <x v="1"/>
    <s v="2"/>
    <s v="Robert Galvan"/>
    <s v="Jimmie Dowd"/>
    <x v="77"/>
    <m/>
    <n v="151.84"/>
    <s v="PIT5"/>
    <s v="High Bay"/>
    <s v="Console Computer"/>
    <s v="Control Console"/>
    <s v="TBD"/>
    <s v="TBD"/>
    <s v="N/A"/>
    <n v="0"/>
    <n v="0"/>
    <s v="IT"/>
    <s v="SERVICABLE – REPAIR (in-house)"/>
    <s v="TBD"/>
    <s v="TBD"/>
    <s v="Check on software package from CSZ for purchase."/>
    <s v="Delayed Test"/>
    <s v="N/A"/>
    <m/>
  </r>
  <r>
    <s v="EMR-341"/>
    <s v=" Electrical Outlets in Fire Lab need water resistant covers installed to protect during cool down where spray bar is used.  "/>
    <x v="0"/>
    <s v="2"/>
    <s v="Thane Krile"/>
    <m/>
    <x v="77"/>
    <d v="2018-05-16T00:00:00"/>
    <n v="12"/>
    <s v="CELL12"/>
    <s v="Medium Bay"/>
    <s v="Electrical Outlets"/>
    <s v="Electrical Service"/>
    <m/>
    <m/>
    <m/>
    <m/>
    <m/>
    <s v="HCTC Maintenance"/>
    <s v="System Modification"/>
    <m/>
    <s v="MODIFICATION or UPGRADE"/>
    <s v="HCTC Maintenance notified._x000d__x000a_Covers have been purchased and are available in the test cell for maintenance to install.  This should be completed by 5/11/18.  Contact Dennis Miller with any questions. _x000d__x000a_5/15/18: Closed."/>
    <m/>
    <m/>
    <m/>
  </r>
  <r>
    <s v="EMR-342"/>
    <s v="(Tyler): Leaking back into Manifold- Manifold bleed to 0 and fixture Isolated with 10 K  building pressure back into manifold and pressure dropping on fixture"/>
    <x v="0"/>
    <s v="2"/>
    <s v="Glen Tyler"/>
    <s v="Jimmie Dowd"/>
    <x v="78"/>
    <d v="2018-08-08T00:00:00"/>
    <n v="93"/>
    <s v="CELL16"/>
    <s v="Medium Bay"/>
    <s v="Z2H-PIV"/>
    <s v="Pneumatic Valve Assembly"/>
    <m/>
    <m/>
    <m/>
    <n v="0"/>
    <n v="0"/>
    <s v="HCTC Systems Group"/>
    <s v="SERVICABLE – REPAIR (in-house)"/>
    <s v="PNEUMATIC (leaks, valves, seals, etc.)"/>
    <s v="COMPONENT WEAR &amp; TEAR"/>
    <s v="Replaced with spare pneumatic valve assembly. The defective valve to be disassembled and repaired as needed,"/>
    <s v="Potential Impact"/>
    <s v="N/A"/>
    <s v="Do Not Use Port H. Use Port G if this is a 2 zone test."/>
  </r>
  <r>
    <s v="EMR-343"/>
    <s v="Can Have Multiple Bleed windows open on SAME PORT-and can be hidden at bottom of screen so  opening back up you don’t know what one is running and can disrupt bleed profile if close one _x000d__x000a_Or deselect the one that is running._x000d__x000a_"/>
    <x v="0"/>
    <s v="2"/>
    <s v="Glen Tyler"/>
    <m/>
    <x v="78"/>
    <d v="2018-05-29T00:00:00"/>
    <n v="22"/>
    <s v="CELLS (7-8)_(15-22)"/>
    <s v="Medium Bay"/>
    <s v="DAQ-CTRL System Software"/>
    <s v="DAQ-CTRL System I/O"/>
    <m/>
    <m/>
    <m/>
    <m/>
    <m/>
    <s v="John Amstadt (Erdosmiller)"/>
    <s v="SERVICABLE – REPAIR (contractor)"/>
    <s v="SOFTWARE ANOMALY"/>
    <s v="INSTALLATION ERROR"/>
    <s v="5/25/18: Software now checks if a dialog for the PPC is already open and does not open another. Fixed."/>
    <s v="Potential Impact"/>
    <m/>
    <m/>
  </r>
  <r>
    <s v="EMR-344"/>
    <s v="Install the DAQ System Enclosure on the Reliability Bunker (DC-5) wall."/>
    <x v="0"/>
    <s v="2"/>
    <s v="Jimmie Dowd"/>
    <m/>
    <x v="79"/>
    <d v="2018-05-11T00:00:00"/>
    <n v="3"/>
    <s v="DC-5"/>
    <s v="Low Bay"/>
    <s v="DAQ System Enclosures"/>
    <s v="DAQ-CTRL System"/>
    <m/>
    <m/>
    <m/>
    <m/>
    <m/>
    <s v="HCTC Maintenance"/>
    <s v="System Installation"/>
    <m/>
    <s v="MODIFICATION or UPGRADE"/>
    <s v="5/10/18: Completed. Closed"/>
    <m/>
    <m/>
    <m/>
  </r>
  <r>
    <s v="EMR-345"/>
    <s v="The lid for pit 2 is stuck closed about 7/8 of the way . The lights are flashing , but the lid will not move open or close . It looks like one motor is coming on , but not the other."/>
    <x v="0"/>
    <s v="1"/>
    <s v="Neal Geisler "/>
    <m/>
    <x v="79"/>
    <d v="2018-05-11T00:00:00"/>
    <n v="3"/>
    <s v="PIT2"/>
    <s v="High Bay"/>
    <s v="Cover (PIT 2)"/>
    <s v="PIT Cover"/>
    <m/>
    <m/>
    <m/>
    <m/>
    <m/>
    <s v="HCTC Maintenance"/>
    <s v="SERVICABLE – REPAIR (in-house)"/>
    <s v="ELECTRICAL (Power)"/>
    <s v="COMPONENT WEAR &amp; TEAR"/>
    <s v="HCTC Maintenance notified._x000d__x000a_5/9/18 (Rigo/Pat): We found that there was a blown fuse on the door that looked like someone had replaced it before. It was a smaller amp fuse than what the unit called for(6amp). We replaced it with a new fuse (8amp). The job is complete. The unit is up and running."/>
    <s v="Delayed Test"/>
    <m/>
    <s v="Pit cover must be functional for testing. Corrective action required ASAP."/>
  </r>
  <r>
    <s v="EMR-346"/>
    <s v="(Krile): Please reverse back the changes made to Cell 15 for the Rotork cycling program done for the 2500 cycle FE test._x000d__x000a_Contact Dennis Miller for questions on the wiring and John A (Erdos Miller) on the programming._x000d__x000a_"/>
    <x v="0"/>
    <s v="2"/>
    <s v="Thane Krile"/>
    <m/>
    <x v="80"/>
    <d v="2018-06-13T00:00:00"/>
    <n v="33"/>
    <s v="CELL15"/>
    <s v="Medium Bay"/>
    <s v="DAQ-CTRL System Software"/>
    <s v="DAQ-CTRL System I/O"/>
    <m/>
    <m/>
    <m/>
    <m/>
    <m/>
    <s v="John Amstadt (Erdosmiller)"/>
    <s v="System Modification"/>
    <m/>
    <s v="MODIFICATION or UPGRADE"/>
    <s v="5/25/18:  Per Thane: Wait on this_x0009_On Hold"/>
    <m/>
    <m/>
    <m/>
  </r>
  <r>
    <s v="EMR-347"/>
    <s v="Erdosmiller to address the following: Loose and unlabled wires, unsecured DIN rails, Loose and disconnected interface connectors. "/>
    <x v="0"/>
    <s v="2"/>
    <s v="Jimmie Dowd"/>
    <m/>
    <x v="80"/>
    <d v="2018-06-26T00:00:00"/>
    <n v="46"/>
    <s v="DC-5"/>
    <s v="Low Bay"/>
    <s v="DAQ System Enclosures"/>
    <s v="DAQ-CTRL System"/>
    <m/>
    <m/>
    <m/>
    <m/>
    <m/>
    <s v="Rohama Khadija (Erdosmiller)"/>
    <s v="SERVICABLE – REPAIR (contractor)"/>
    <m/>
    <s v="INSTALLATION ERROR"/>
    <s v="5/18/18 (Dowd): Erdosmiller has taken the DAQ enclosure back to their facility for rewiring. ECD: 5/23/18._x000d__x000a_June,2018: Enclosure rewired and returned to the HCTC. It has been mounted at DC-5 and system I/O checks were successfully completed."/>
    <m/>
    <m/>
    <m/>
  </r>
  <r>
    <s v="EMR-348"/>
    <s v="5/11/2018 (Haenel): The High pressure Pac-seal regulator leaking from supply plate. I have currently bypassed the regulator to continue testing. Will need seal kits to rebuild."/>
    <x v="1"/>
    <s v="2"/>
    <s v="Carl Haenel"/>
    <s v="Jimmie Dowd"/>
    <x v="80"/>
    <m/>
    <n v="144.84"/>
    <s v="PIT4"/>
    <s v="High Bay"/>
    <s v="Pressure Regulator (40-3114)"/>
    <s v="Pressure Regulator"/>
    <s v="PacSeal Hydraulics"/>
    <s v="40-3114"/>
    <s v="N/A"/>
    <n v="0"/>
    <n v="0"/>
    <s v="HCTC Maintenance"/>
    <s v="Serviceable – Repair (Contractor)"/>
    <s v="HYDRAULIC (leaks, valves, seals, etc.)"/>
    <s v="COMPONENT WEAR &amp; TEAR"/>
    <s v="Pac seal rebuild kits required. Requistions to be submitted ASAP._x000d__x000a_per the most recent BOM: 1-1/2 inch REGULATOR, KR140 HYDRAULIC PILOT OPERATED, 1 inch MP INLENT PORTS 1-1/2 inch SOCKET_x000d__x000a_WELD OUTLET PORT. 7500 PSI INLET, 6600 PSI OUTLET. MFR P/N: 40-3114_x000d__x000a__x000d__x000a__x000d__x000a_"/>
    <s v="Delayed Test"/>
    <s v="N/A"/>
    <m/>
  </r>
  <r>
    <s v="EMR-349"/>
    <s v="Corrupted file, cannot open from CRIO location.  Files not being transferred to pc c drive.  Crio file also contains several unknown (large) files from unknown origin."/>
    <x v="0"/>
    <s v="2"/>
    <s v="Chris Goodwater"/>
    <m/>
    <x v="81"/>
    <d v="2018-05-29T00:00:00"/>
    <n v="14"/>
    <s v="CELL21"/>
    <s v="Medium Bay"/>
    <s v="DAQ-CTRL System Software"/>
    <s v="DAQ-CTRL System I/O"/>
    <m/>
    <m/>
    <m/>
    <m/>
    <m/>
    <s v="John Amstadt (Erdosmiller)"/>
    <s v="SERVICABLE – REPAIR (contractor)"/>
    <s v="SOFTWARE ANOMALY"/>
    <s v="INSTALLATION ERROR"/>
    <s v="5/25/18: Obtained shell access to cRIO. Discovered that corrupt files had an undisplayable character in the file name (not an ASCII character). Added more intense scrutiny of file name input to prevent special characters. Fixed._x000d__x000a_"/>
    <s v="Partial Data Loss"/>
    <m/>
    <m/>
  </r>
  <r>
    <s v="EMR-350"/>
    <s v="Access hatch on chamber lid was damaged from release of pressure during temp test. The hatch is still currently usable but has lost a layer of glass."/>
    <x v="0"/>
    <s v="2"/>
    <s v="Carl Haenel"/>
    <s v="Jimmie Dowd"/>
    <x v="82"/>
    <d v="2018-07-16T00:00:00"/>
    <n v="60"/>
    <s v="PIT5"/>
    <s v="High Bay"/>
    <s v="CSZ Thermal Chamber"/>
    <s v="Temperature Control Unit"/>
    <m/>
    <m/>
    <m/>
    <n v="0"/>
    <n v="0"/>
    <s v="HCTC Maintenance"/>
    <s v="NOT SERVICABLE-REPLACE"/>
    <s v="MECHANICAL"/>
    <s v="COMPONENT WEAR &amp; TEAR"/>
    <s v="HCTC Maintenance: The window has now been installed. Pat/Rigo completed the job on 7/16/2018._x000d__x000a_"/>
    <s v="Delayed Test"/>
    <s v="N/A"/>
    <s v="Unable to conduct thermal test if lid is compromised."/>
  </r>
  <r>
    <s v="EMR-351"/>
    <s v="5/21/18 (Frenzel): Build fused extension for 480VAC, 3ph, 5A. Need 480VAC, 3ph, 5A fused connection at work bench outside cell 8 manifold room. This is for actuator testing in support of upcoming valve cycle tests._x000d__x000a_"/>
    <x v="0"/>
    <s v="2"/>
    <s v="Robert Frenzel"/>
    <m/>
    <x v="83"/>
    <d v="2018-06-01T00:00:00"/>
    <n v="11"/>
    <s v="CELL8"/>
    <s v="Medium Bay"/>
    <s v="480VAC Electrical Service"/>
    <s v="Electrical Power"/>
    <m/>
    <m/>
    <m/>
    <m/>
    <m/>
    <s v="HCTC Maintenance"/>
    <s v="System Modification"/>
    <m/>
    <s v="MODIFICATION or UPGRADE"/>
    <s v="HCTC Maintenance Notified."/>
    <m/>
    <m/>
    <m/>
  </r>
  <r>
    <s v="EMR-352"/>
    <s v="Reliability bunker cameras not operational. "/>
    <x v="0"/>
    <s v="2"/>
    <s v="Jimmie Dowd"/>
    <s v="Jimmie Dowd"/>
    <x v="83"/>
    <d v="2018-09-10T00:00:00"/>
    <n v="112"/>
    <s v="DC-5"/>
    <s v="Low Bay"/>
    <s v="Camera (Bunker)"/>
    <s v="Camera System"/>
    <m/>
    <s v="None"/>
    <s v="None"/>
    <n v="0"/>
    <n v="0"/>
    <s v="Ben Hogan"/>
    <s v="SERVICABLE – REPAIR (in-house)"/>
    <s v="N/A-No Failure"/>
    <s v="INSTALLATION ERROR"/>
    <s v="Ben Hogan notified. _x000d__x000a_5/24/18: Cameras operational."/>
    <s v="N/A-Not Applicable"/>
    <s v="N/A"/>
    <m/>
  </r>
  <r>
    <s v="EMR-353"/>
    <s v="Install (wall mount) Camera Monitor at DC-5 console."/>
    <x v="0"/>
    <s v="2"/>
    <s v="Jimmie Dowd"/>
    <m/>
    <x v="84"/>
    <d v="2018-05-22T00:00:00"/>
    <n v="0"/>
    <s v="DC-5"/>
    <s v="Low Bay"/>
    <s v="PC Monitor"/>
    <s v="Control Console"/>
    <m/>
    <m/>
    <m/>
    <m/>
    <m/>
    <s v="HCTC Maintenance"/>
    <s v="System Installation"/>
    <m/>
    <s v="MODIFICATION or UPGRADE"/>
    <s v="HCTC Maintenance notified._x000d__x000a_Completed."/>
    <m/>
    <m/>
    <m/>
  </r>
  <r>
    <s v="EMR-354"/>
    <s v="Pressure bleeding back thru check valve."/>
    <x v="0"/>
    <s v="2"/>
    <s v="Anthony Ramos"/>
    <s v="Jimmie Dowd"/>
    <x v="85"/>
    <d v="2018-07-11T00:00:00"/>
    <n v="42"/>
    <s v="CELL20"/>
    <s v="Medium Bay"/>
    <s v="Gas Booster AG-303 (5585423-5)"/>
    <s v="Gas Booster"/>
    <s v="Haskel"/>
    <s v="AG-303"/>
    <m/>
    <n v="0"/>
    <n v="0"/>
    <s v="HCTC Maintenance"/>
    <s v="SERVICABLE – REPAIR (in-house)"/>
    <s v="PNEUMATIC (leaks, valves, seals, etc.)"/>
    <s v="TBD"/>
    <s v="Unit repaired. Test in CELL22 up to 20 KSI."/>
    <s v="Delayed Test"/>
    <s v="N/A"/>
    <m/>
  </r>
  <r>
    <s v="EMR-355"/>
    <s v="LN2 line leaking. The LN2 line installed over cell 4 is leaking liquid._x000d__x000a_Unsure if source of leak is valve or fitting. Leak is encased in ice._x000d__x000a_ "/>
    <x v="0"/>
    <s v="2"/>
    <s v="Robert Frenzel"/>
    <s v="Jimmie Dowd"/>
    <x v="86"/>
    <d v="2018-06-13T00:00:00"/>
    <n v="12"/>
    <s v="CELL4"/>
    <s v="Medium Bay"/>
    <s v="Nitrogen Supply System"/>
    <s v="Nitrogen Supply System"/>
    <m/>
    <s v="None"/>
    <s v="None"/>
    <n v="0"/>
    <n v="0"/>
    <s v="HCTC Maintenance"/>
    <s v="Serviceable – Repair (In-House)"/>
    <s v="Liquid Nitrogen Leak"/>
    <s v="Thermal Cycling"/>
    <s v="Closed LN2 ISO valve for CELL4 and CELL6. Tonatco Cryrogenic Services has been notified._x000d__x000a_6/13/18: Contractor indicated that this could happen occassionally due to thermal cycling._x000d__x000a_"/>
    <s v="N/A-Not Applicable"/>
    <s v="N/A"/>
    <m/>
  </r>
  <r>
    <s v="EMR-356"/>
    <s v="Bulb has blown out. "/>
    <x v="0"/>
    <s v="2"/>
    <s v="Jimmie Dowd"/>
    <m/>
    <x v="87"/>
    <d v="2018-06-26T00:00:00"/>
    <n v="22"/>
    <s v="CELL18"/>
    <s v="Medium Bay"/>
    <s v="Pressure Beacon"/>
    <s v="Annunciator"/>
    <m/>
    <m/>
    <m/>
    <m/>
    <m/>
    <s v="HCTC Maintenance"/>
    <s v="SERVICABLE – REPAIR (in-house)"/>
    <s v="ELECTRONIC COMPONENTS"/>
    <s v="COMPONENT WEAR &amp; TEAR"/>
    <s v="Replace bulb. Order spares for CSP inventory._x000d__x000a_June,2018: Spares received. Bulb replaced."/>
    <s v="No Test Impact "/>
    <m/>
    <m/>
  </r>
  <r>
    <s v="EMR-357"/>
    <s v="Unit very slow to heat up and offset of 100°F  to reach desired box temp.  Believe heating elements are out.  Stayed running at 100% duty cycle during use at heat up._x000d__x000a__x000d__x000a_Replaced with a different bemco and seen immediate improvements. _x000d__x000a_As of the date of this EMR, Bemco Unit-3 is located at B16 (outside of CELL16 manifold room)_x000d__x000a_"/>
    <x v="1"/>
    <s v="2"/>
    <s v="Chris Goodwater"/>
    <s v="Rigoberto Villarruel"/>
    <x v="88"/>
    <m/>
    <n v="116.84"/>
    <s v="Beam B16"/>
    <s v="Medium Bay"/>
    <s v="Bemco Unit -3"/>
    <s v="Temperature Control Unit"/>
    <s v="Bemco Inc."/>
    <s v="PTS-100/1000F-1500LN"/>
    <s v="Bemco Unit -3"/>
    <n v="5109"/>
    <n v="0"/>
    <s v="HCTC Maintenance"/>
    <s v="Serviceable – Repair (In-House)"/>
    <s v="Electrical (Heaters)"/>
    <s v="COMPONENT WEAR &amp; TEAR"/>
    <s v="The unit has been moved to J99 (maintenance area)._x000d__x000a__x000d__x000a_9/17/2018 Need to know where this unit is located. I did not see it by the J99 area. Rigo"/>
    <s v="Delayed Test"/>
    <s v="N/A"/>
    <m/>
  </r>
  <r>
    <s v="EMR-358"/>
    <s v="Replaced control transducers on cell 19 and now unable to zero them.  The password will not work.  I have tired re-booting system and still not working."/>
    <x v="0"/>
    <s v="2"/>
    <s v="Anthony Ramos"/>
    <m/>
    <x v="88"/>
    <d v="2018-06-08T00:00:00"/>
    <n v="0"/>
    <s v="CELL19"/>
    <s v="Medium Bay"/>
    <s v="DAQ-CTRL System Software"/>
    <s v="DAQ-CTRL System I/O"/>
    <m/>
    <m/>
    <m/>
    <m/>
    <m/>
    <s v="HCTC Systems Group"/>
    <s v="SERVICABLE – REPAIR (in-house)"/>
    <s v="SOFTWARE ANOMALY"/>
    <s v="INSTALLATION ERROR"/>
    <s v="6/8/18 (Frenzel): Password reset successful."/>
    <m/>
    <m/>
    <m/>
  </r>
  <r>
    <s v="EMR-359"/>
    <s v="Sump pump has stopped pumping. Filter is clean. Likely needs rebuild."/>
    <x v="1"/>
    <s v="2"/>
    <s v="Carl Haenel"/>
    <s v="Jimmie Dowd"/>
    <x v="89"/>
    <m/>
    <n v="109.84"/>
    <s v="PIT4"/>
    <s v="High Bay"/>
    <s v="Submersible Sump Pump"/>
    <s v="Hydraulic Pump"/>
    <m/>
    <m/>
    <m/>
    <n v="0"/>
    <n v="0"/>
    <s v="HCTC Maintenance"/>
    <s v="SERVICABLE – REPAIR (in-house)"/>
    <s v="TBD"/>
    <s v="TBD"/>
    <s v="Ordered a Dayton pump. EDD: TBD"/>
    <s v="Delayed Test"/>
    <s v="N/A"/>
    <m/>
  </r>
  <r>
    <s v="EMR-360"/>
    <s v="Fine tune Tescom Regulator leaking internally. "/>
    <x v="1"/>
    <s v="2"/>
    <s v="Carl Haenel"/>
    <s v="Rigoberto Villarruel"/>
    <x v="89"/>
    <m/>
    <n v="109.84"/>
    <s v="PIT2"/>
    <s v="High Bay"/>
    <s v="Tescom"/>
    <s v="Pressure Regulator"/>
    <m/>
    <m/>
    <m/>
    <n v="0"/>
    <n v="0"/>
    <s v="HCTC Maintenance"/>
    <s v="Serviceable – Repair (In-House)"/>
    <s v="HYDRAULIC (leaks, valves, seals, etc.)"/>
    <s v="OPERATING BEYOND DESIGN LIMITS"/>
    <s v="28 Sept 2018 Parts are on shelf B3B in Room J99 Critical parts room."/>
    <s v="Delayed Test"/>
    <s v="N/A"/>
    <m/>
  </r>
  <r>
    <s v="EMR-361"/>
    <s v="(Haenel): O2 sensor losing power. Suggestion is to move sensor readout to control panel on all pits to eliminate vibration. I believe the shock of opening and closing entry door to the pit is damaging the internal circuits. "/>
    <x v="0"/>
    <s v="2"/>
    <s v="Carl Haenel"/>
    <s v="Jimmie Dowd"/>
    <x v="89"/>
    <d v="2018-08-21T00:00:00"/>
    <n v="67"/>
    <s v="PIT2"/>
    <s v="High Bay"/>
    <s v="O2 Sensor (Test Pit-2)"/>
    <s v="Oxygen Monitoring"/>
    <m/>
    <m/>
    <m/>
    <n v="0"/>
    <n v="0"/>
    <s v="HCTC Maintenance"/>
    <s v="Physical Mitigation"/>
    <s v="N/A-No Failure"/>
    <s v="MODIFICATION or UPGRADE"/>
    <s v="O2 sensor monitoring stations have been relocated."/>
    <s v="Delayed Test"/>
    <s v="N/A"/>
    <s v="Use Portable O2 sensors while working in the Test Pits."/>
  </r>
  <r>
    <s v="EMR-362"/>
    <s v="Screen shot timestamp does not match the data file time stamp. Discrepancy of up to 4 minutes observed."/>
    <x v="0"/>
    <s v="1"/>
    <s v="Andrew Ondrejcak"/>
    <s v="Jimmie Dowd"/>
    <x v="90"/>
    <d v="2018-08-08T00:00:00"/>
    <n v="47"/>
    <s v="CELL16"/>
    <s v="Medium Bay"/>
    <s v="DAQ-CTRL System Software"/>
    <s v="DAQ-CTRL System"/>
    <m/>
    <m/>
    <m/>
    <n v="0"/>
    <n v="0"/>
    <s v="John Amstadt (Erdosmiller)"/>
    <s v="SERVICABLE – REPAIR (contractor)"/>
    <s v="SOFTWARE ANOMALY"/>
    <s v="TBD"/>
    <s v="Closed. Awaiting root cause description from Erdosmiller. "/>
    <s v="Delayed Test"/>
    <s v="N/A"/>
    <s v="Use the data file to coordinate the start and end of holds. Until this issue is resolved, do not rely on screen shots for witness data."/>
  </r>
  <r>
    <s v="EMR-363"/>
    <s v="Remote Cameras for High/Low Bays _x000d__x000a_The camera system is not recording consistently. Some days it does not record at all, some days it records for only 2 hours, some days it will record on &amp; off during the day. It was not recording during initial FAT for Brookshire so we have no visual for them. See Kitty for further description if needed. We will need this working correctly in the future during shear tests"/>
    <x v="0"/>
    <s v="2"/>
    <s v="Kitty Harvey"/>
    <s v="Jimmie Dowd"/>
    <x v="91"/>
    <d v="2018-07-11T00:00:00"/>
    <n v="15"/>
    <s v="High Bay"/>
    <s v="High Bay"/>
    <s v="Camera (Drilling Pit)"/>
    <s v="Camera System"/>
    <m/>
    <m/>
    <m/>
    <n v="0"/>
    <n v="0"/>
    <s v="Ben Hogan"/>
    <s v="SERVICABLE – REPAIR (contractor)"/>
    <s v="TBD"/>
    <s v="OPERATING BEYOND DESIGN LIMITS"/>
    <s v="As a follow up to this EMR, HCTC Systems needs to obtain all documentation and contact information related to the HCTC camera systems. "/>
    <s v="Partial Data Loss"/>
    <s v="N/A"/>
    <m/>
  </r>
  <r>
    <s v="EMR-364"/>
    <s v="Upgrade request.  Engineering is requesting the valve cycle program be modified/added feature that will allow short cycling of the valve.  This is to speed up time to complete testing.  We believe our best solution at this time using spring/failed closed program, trigger actuator to go back closed using pressure indication from the downstream transducer.  _x000d__x000a_Changes are requested ASAP and awaiting a quote._x000d__x000a_"/>
    <x v="1"/>
    <s v="2"/>
    <s v="Chris Goodwater"/>
    <s v="Robert Frenzel"/>
    <x v="92"/>
    <m/>
    <n v="95.84"/>
    <s v="Medium Bay"/>
    <s v="Medium Bay"/>
    <s v="DAQ-CTRL System Software"/>
    <s v="DAQ-CTRL System I/O"/>
    <s v="National Instruments"/>
    <s v="N/A"/>
    <s v="N/A"/>
    <n v="0"/>
    <n v="0"/>
    <s v="John Amstadt (Erdosmiller)"/>
    <s v="System Modification"/>
    <s v="N/A-No Failure"/>
    <s v="MODIFICATION or UPGRADE"/>
    <s v="Erdos Miller quote for the programming change to speed up the cycling by starting the actuator bleed after the crack open and a delay: The expedited delivery date is July 20th assuming they get a PO next week. Cost $6054._x000d__x000a_20Aug18 RAF- Programming complete. Waiting for break in testing to deply to bunker._x000d__x000a_Technicians need to notify Operations when the bunker is available to deploy the update."/>
    <s v="N/A-Not Applicable"/>
    <s v="N/A"/>
    <s v="N/A"/>
  </r>
  <r>
    <s v="EMR-365"/>
    <s v="No signal from data transducers."/>
    <x v="0"/>
    <s v="1"/>
    <s v="Anthony Ramos"/>
    <s v="Jimmie Dowd"/>
    <x v="93"/>
    <d v="2018-07-09T00:00:00"/>
    <n v="3"/>
    <s v="CELL15"/>
    <s v="Medium Bay"/>
    <s v="DAQ-CTRL System Software"/>
    <s v="DAQ-CTRL System I/O"/>
    <m/>
    <m/>
    <m/>
    <n v="0"/>
    <n v="0"/>
    <s v="John Amstadt (Erdosmiller)"/>
    <s v="Serviceable – Repair (Contractor)"/>
    <s v="SOFTWARE ANOMALY"/>
    <s v="TBD"/>
    <s v="Steps to repair:_x000d__x000a_1._x0009_Run the software and ensure connection to the main cRIO Chassis._x000d__x000a_2._x0009_On the manifold UI, click the Cameron logo._x000d__x000a_3._x0009_A password dialog appears. Enter the admin password._x000d__x000a_4._x0009_An admin utilities window will appear after a correct password is used._x000d__x000a_a._x0009_Click the “Reset Scan Engine” button._x000d__x000a_5._x0009_Exit the software._x000d__x000a_6._x0009_Power cycle the cRIO and the expansion chassis._x000d__x000a_7._x0009_Relaunch the software and load the test configuration file._x000d__x000a_8._x0009_Issue is (should) now be resolved."/>
    <s v="Stopped Test"/>
    <s v="056-18"/>
    <s v="N/A"/>
  </r>
  <r>
    <s v="EMR-366"/>
    <s v="20k filter extruded o-ring on filter indicator spraying fluid out of pump.  It’s unknown if we are looking at an o-ring falure or plugged filter and relief falure that caused issue.  Relief is set at 16,500psi so it should have relieved pressure prior to o-ring falure if filter is rated to 20k.  Pump was operating at 5000psi regulated down stream of filter.  No observations made of diminished flow rates from pump prior to falure. "/>
    <x v="0"/>
    <s v="1"/>
    <s v="Chris Goodwater"/>
    <s v="Jimmie Dowd"/>
    <x v="94"/>
    <d v="2018-08-08T00:00:00"/>
    <n v="28"/>
    <s v="CELL15"/>
    <s v="Medium Bay"/>
    <s v="Dynex Pump H-6"/>
    <s v="Hydraulic Pump"/>
    <m/>
    <m/>
    <m/>
    <n v="0"/>
    <n v="0"/>
    <s v="HCTC Maintenance"/>
    <s v="Serviceable – Repair (In-House)"/>
    <s v="HYDRAULIC (leaks, valves, seals, etc.)"/>
    <s v="COMPONENT WEAR &amp; TEAR"/>
    <s v="Dynex pump has been replaced with spare. The defective Dynex pump to be disassembled and refurbished either inhouse or via contractor. Relief valve rebuild kit and oil filters ordered and to be replaced. Future action to set-up a PM plan for these pump carts."/>
    <s v="Stopped Test"/>
    <s v="056-18"/>
    <s v="N/A"/>
  </r>
  <r>
    <s v="EMR-367"/>
    <s v="When paid updates to the valve cycle program were implemented we lost some of the old features that were never intended on loosing.  During valve cycling engineering wanted to have ability to bleed pressure off the downstream in a controlled manner for higher pressure valves(20k+). The remainder of testing will use our older type of testing where downstream pressure is dumped immediately.  Also implemented was the ability to control a different pump and regulator setpoint after crack open occurs.  This feature will remain as is which is what we want.  The valve cycle program needs to have the ability for users to choose how the downstream pressure is handled (bleed or dump) as originally intended when program changes were purchased."/>
    <x v="0"/>
    <s v="2"/>
    <s v="Chris Goodwater"/>
    <s v="Jimmie Dowd"/>
    <x v="94"/>
    <d v="2018-08-08T00:00:00"/>
    <n v="28"/>
    <s v="Medium Bay"/>
    <s v="Medium Bay"/>
    <s v="DAQ-CTRL System Software"/>
    <s v="DAQ-CTRL System I/O"/>
    <m/>
    <m/>
    <m/>
    <n v="0"/>
    <n v="0"/>
    <s v="John Amstadt (Erdosmiller)"/>
    <s v="Serviceable – Repair (Contractor)"/>
    <s v="N/A-No Failure"/>
    <s v="TBD"/>
    <s v="Erdosmiller notified."/>
    <s v="N/A-Not Applicable"/>
    <s v="N/A"/>
    <s v="N/A"/>
  </r>
  <r>
    <s v="EMR-368"/>
    <s v="Inconsistencies with the 100 hz sampling mode."/>
    <x v="0"/>
    <s v="2"/>
    <s v="Efrain Martinez"/>
    <s v="Robert Frenzel"/>
    <x v="95"/>
    <d v="2018-08-29T00:00:00"/>
    <n v="48"/>
    <s v="DC-1"/>
    <s v="Low Bay"/>
    <s v="DAQ-CTRL System Software"/>
    <s v="DAQ-CTRL System I/O"/>
    <m/>
    <m/>
    <m/>
    <n v="0"/>
    <n v="0"/>
    <s v="Erdosmiller"/>
    <s v="Serviceable – Repair (Contractor)"/>
    <s v="SOFTWARE ANOMALY"/>
    <s v="CONTRACTOR ERROR"/>
    <s v="Erdosmiller notified. They identified a software issue as the root cause. Erdosmiller to correct the issue on Friday, July 13._x000d__x000a_29Au18; No additional feedback. Assume problem was corrected on the 13th of July."/>
    <s v="Partial Data Loss"/>
    <s v="N/A"/>
    <s v="N/A"/>
  </r>
  <r>
    <s v="EMR-369"/>
    <s v="REPAIR KIT FOR TESCOM MODEL 50-2062D24A250._x000d__x000a_Bypassing fluid unable to maintain pressure while testing, needs rebuild if kits available._x000d__x000a_Swapped new regulator from other test cell(22) in place to continue testing._x000d__x000a__x000d__x000a_"/>
    <x v="1"/>
    <s v="2"/>
    <s v="Chris Goodwater"/>
    <s v="Jimmie Dowd"/>
    <x v="96"/>
    <m/>
    <n v="81.84"/>
    <s v="CELL18"/>
    <s v="Medium Bay"/>
    <s v="Tescom 30K Pressure Regulator"/>
    <s v="Pressure Regulator"/>
    <s v="Tescom"/>
    <s v="None"/>
    <s v="None"/>
    <n v="0"/>
    <n v="0"/>
    <s v="HCTC Maintenance"/>
    <s v="TBD"/>
    <s v="HYDRAULIC (leaks, valves, seals, etc.)"/>
    <s v="TBD"/>
    <s v="Received quote from vendor on repair kits. Order placed as of 9/5/18. There is a 6-8 week lead time."/>
    <s v="Minimal"/>
    <s v="N/A"/>
    <s v="N/A"/>
  </r>
  <r>
    <s v="EMR-370"/>
    <s v="Belt squealing during operation."/>
    <x v="0"/>
    <s v="2"/>
    <s v="Carl Haenel"/>
    <s v="Jimmie Dowd"/>
    <x v="96"/>
    <d v="2018-07-13T00:00:00"/>
    <n v="0"/>
    <s v="PIT5"/>
    <s v="High Bay"/>
    <s v="Pit 5 HPU"/>
    <s v="Hydraulic Power Unit"/>
    <s v="C-Automation"/>
    <s v="N/A"/>
    <s v="N/A"/>
    <n v="0"/>
    <n v="0"/>
    <s v="HCTC Maintenance"/>
    <s v="Serviceable – Repair (In-House)"/>
    <s v="MECHANICAL"/>
    <s v="COMPONENT WEAR &amp; TEAR"/>
    <s v="Pat and Rigo tightened belts and fixed issue."/>
    <s v="No Test Impact "/>
    <s v="N/A"/>
    <s v="N/A"/>
  </r>
  <r>
    <s v="EMR-371"/>
    <s v="(Harvey):  This is a repeat problem. The cameras will not playback recordings. Please fix. "/>
    <x v="0"/>
    <s v="2"/>
    <s v="Kitty Harvey"/>
    <s v="Jimmie Dowd"/>
    <x v="97"/>
    <d v="2018-07-23T00:00:00"/>
    <n v="3"/>
    <s v="High Bay"/>
    <s v="High Bay"/>
    <s v="Camera (Drilling Pit)"/>
    <s v="Camera System"/>
    <m/>
    <m/>
    <m/>
    <n v="0"/>
    <n v="0"/>
    <s v="Ben Hogan"/>
    <s v="Serviceable – Repair (In-House)"/>
    <s v="COMPUTER ANOMALY"/>
    <s v="OPERATING BEYOND DESIGN LIMITS"/>
    <s v="7-23-2018 (Hogan): The issue has been resolved for now. The drive has been cleared of junk files and the automatic windows update setting has been turned off. An IT ticket has been submitted to determine if it is possible to upgrade the servers cdrive with a larger unit (current is 55GB), which would eliminate the problem. Reference INC000020776680._x000d__x000a_"/>
    <s v="No Test Impact "/>
    <s v="N/A"/>
    <s v="N/A"/>
  </r>
  <r>
    <s v="EMR-372"/>
    <s v="The air conditioner is not working in the computer room with the camera servers. It is not cooling. Camera servers could be impacted with insufficient cooling."/>
    <x v="0"/>
    <s v="2"/>
    <s v="Kitty Harvey"/>
    <s v="Jimmie Dowd"/>
    <x v="98"/>
    <d v="2018-08-02T00:00:00"/>
    <n v="9"/>
    <s v="High Bay"/>
    <s v="High Bay"/>
    <s v="Camera Servers (High Bay Control Room)"/>
    <s v="Camera System"/>
    <s v="TBD"/>
    <s v="TBD"/>
    <s v="N/A"/>
    <n v="0"/>
    <n v="0"/>
    <s v="HCTC Maintenance"/>
    <s v="Serviceable – Repair (Contractor)"/>
    <s v="MECHANICAL"/>
    <s v="COMPONENT WEAR &amp; TEAR"/>
    <s v="Room A/C was serviced the week of July 24. EMR is Closed."/>
    <s v="N/A-Not Applicable"/>
    <s v="N/A"/>
    <s v="N/A"/>
  </r>
  <r>
    <s v="EMR-373"/>
    <s v="Unit stopped cooling could be defective solenoid."/>
    <x v="1"/>
    <s v="2"/>
    <s v="Dave Mundell"/>
    <s v="Rigoberto Villarruel"/>
    <x v="99"/>
    <m/>
    <n v="69.84"/>
    <s v="CELL21"/>
    <s v="Medium Bay"/>
    <s v="Russells Unit-8"/>
    <s v="Temperature Control Unit"/>
    <m/>
    <m/>
    <s v="None"/>
    <n v="0"/>
    <n v="0"/>
    <s v="HCTC Maintenance"/>
    <s v="Serviceable – Repair (In-House)"/>
    <s v="Physical Damage"/>
    <s v="INSTALLATION ERROR"/>
    <s v="9/4/2018: Tubing suppling the solenoid was twisted due to over tightening when the N2 supply line was installed. The constriction most likely resulted in reduced flow. Tubing will be replaced and the system checked. If the solenoid is not defective, it will not be replaced._x000d__x000a_9/4/2018 : Ordered copper tubing Grainger stk # 3P672 Pat_x000d__x000a_9/6/2018 Copper tubing recieved and installed . Unit taken over back to Waller Bunker to be checked out on 3/10/2018 with Mike Watkins help.Pat/Rigo"/>
    <s v="Delayed Test"/>
    <s v="051-18"/>
    <s v="N/A"/>
  </r>
  <r>
    <s v="EMR-374"/>
    <s v="Wellbore camera is nor working (pan/tilt)."/>
    <x v="0"/>
    <s v="2"/>
    <s v="Carl Haenel"/>
    <s v="Jimmie Dowd"/>
    <x v="100"/>
    <d v="2018-09-05T00:00:00"/>
    <n v="41"/>
    <s v="PIT5"/>
    <s v="High Bay"/>
    <s v="Camera (Drilling Pit)"/>
    <s v="Camera System"/>
    <m/>
    <s v="None"/>
    <s v="None"/>
    <n v="0"/>
    <n v="0"/>
    <s v="Ben Hogan"/>
    <s v="Serviceable – Repair (Contractor)"/>
    <s v="MECHANICAL"/>
    <s v="OPERATING BEYOND DESIGN LIMITS"/>
    <s v="Ben Hogan: The camera has been repaired. The unit was exposed to heat greater than what it is rated for. This resulted in some of the internal components melting and fusing together. That ultimately disabled the pan and tilt functions. _x000a_"/>
    <s v="Potential Impact"/>
    <s v="019-18"/>
    <s v="Loss of wellbore visibility during test."/>
  </r>
  <r>
    <s v="EMR-375"/>
    <s v="(Haenel): Tescom on fine tune circuit leaking internally needs to be rebuilt. Pits 2,3,&amp; 4 have similar issue._x000d__x000a_Suggestion is that all Tescoms in pits 1-5 be rebuilt and a PM be generated in the future._x000d__x000a__x000d__x000a_Note: This regulator interfaces with the ER5000 electropneumatic controller. _x000d__x000a_"/>
    <x v="1"/>
    <s v="2"/>
    <s v="Carl Haenel"/>
    <s v="Rigoberto Villarruel"/>
    <x v="100"/>
    <m/>
    <n v="68.84"/>
    <s v="PITS (1-5)"/>
    <s v="High Bay"/>
    <s v="Tescom"/>
    <s v="Pressure Regulator"/>
    <m/>
    <m/>
    <m/>
    <n v="0"/>
    <n v="0"/>
    <s v="HCTC Maintenance"/>
    <s v="Serviceable – Repair (In-House)"/>
    <s v="MECHANICAL"/>
    <s v="TBD"/>
    <s v="9-28-2018 Parts ordered are on shelf B3B in room J99."/>
    <s v="Delayed Test"/>
    <s v="019-18"/>
    <s v="N/A"/>
  </r>
  <r>
    <s v="EMR-376"/>
    <s v="Install hour meters on Russells Units 4 through 9. Hour meters are required for maintenance tracking and preventive maintenance (PM) scheduling._x000d__x000a_"/>
    <x v="1"/>
    <s v="2"/>
    <s v="Jimmie Dowd"/>
    <s v="Jimmie Dowd"/>
    <x v="101"/>
    <m/>
    <n v="67.84"/>
    <s v="Temperature Control Unit (mobile)"/>
    <s v="N/A"/>
    <s v="TCU (Russells Units)"/>
    <s v="Temperature Control Unit"/>
    <s v="Russells Technical Products"/>
    <s v="TBD"/>
    <s v="N/A"/>
    <n v="0"/>
    <n v="0"/>
    <s v="HCTC Maintenance"/>
    <s v="System Modification"/>
    <s v="N/A-Preventive Maintenance Action"/>
    <s v="Preventive Maintenance"/>
    <s v="Hours meters received on 7-27-2018. Install as russells units become available. "/>
    <s v="N/A-Not Applicable"/>
    <s v="N/A"/>
    <s v="N/A"/>
  </r>
  <r>
    <s v="EMR-377"/>
    <s v="Rotation beacon lamp is Bulb is blown out. The beacon is rotation while bunker is under pressure so it does not appear to be a power issue."/>
    <x v="0"/>
    <s v="2"/>
    <s v="Jimmie Dowd"/>
    <s v="Jimmie Dowd"/>
    <x v="102"/>
    <d v="2018-08-02T00:00:00"/>
    <n v="2"/>
    <s v="CELL18"/>
    <s v="Medium Bay"/>
    <s v="Pressure Beacon"/>
    <s v="Annunciator"/>
    <m/>
    <m/>
    <m/>
    <n v="0"/>
    <n v="0"/>
    <s v="HCTC Maintenance"/>
    <s v="Serviceable – Repair (In-House)"/>
    <s v="ELECTRONIC COMPONENTS"/>
    <s v="COMPONENT WEAR &amp; TEAR"/>
    <s v="(HCTC Maintenance): EMR-has been completed. Bulb replaced. "/>
    <s v="Minimal"/>
    <s v="029-18"/>
    <s v="N/A"/>
  </r>
  <r>
    <s v="EMR-378"/>
    <s v=" Noticed reduced output and pressure pulsing from output line along with pulsating noises."/>
    <x v="0"/>
    <s v="1"/>
    <s v="Chris Goodwater"/>
    <s v="Jimmie Dowd"/>
    <x v="103"/>
    <d v="2018-08-01T00:00:00"/>
    <n v="0"/>
    <s v="CELL15"/>
    <s v="Medium Bay"/>
    <s v="Dynex Pump H-6"/>
    <s v="Hydraulic Pump"/>
    <m/>
    <m/>
    <m/>
    <n v="0"/>
    <n v="0"/>
    <s v="HCTC Maintenance"/>
    <s v="Serviceable – Repair (In-House)"/>
    <s v="HYDRAULIC (leaks, valves, seals, etc.)"/>
    <s v="COMPONENT WEAR &amp; TEAR"/>
    <s v="HCTC Maintenance removed and replaced the Dynex pump head with a spare pump head (purchased at TDC several years ago). Unit test was ok and it it operational. The root cause will be updated following disassembly and maintenance of the defective pump head. _x000d__x000a_Also, rebuild kits for the 20KSI relief valve and spare hydraulic filters have been requisitioned. The relief valve will be rebuilt and the filters changed out at the completion of TP056-18.  _x000d__x000a_EMR-378 is Closed._x000d__x000a_"/>
    <s v="Stopped Test"/>
    <s v="056-18"/>
    <s v="Test stoppage. Check for an available equivalent pump to resume testing."/>
  </r>
  <r>
    <s v="EMR-379"/>
    <s v="Solenoid does not cycle."/>
    <x v="0"/>
    <s v="2"/>
    <s v="Anthony Ramos"/>
    <s v="Jimmie Dowd"/>
    <x v="104"/>
    <d v="2018-08-02T00:00:00"/>
    <n v="0"/>
    <s v="CELL16"/>
    <s v="Medium Bay"/>
    <s v="Solenoid Valve (225B-521JC)"/>
    <s v="Solenoid"/>
    <s v="MAC"/>
    <s v="225B-521JC"/>
    <s v="N/A"/>
    <n v="0"/>
    <n v="0"/>
    <s v="HCTC Systems Group"/>
    <s v="Not Serviceable-Replace"/>
    <s v="PNEUMATIC (leaks, valves, seals, etc.)"/>
    <s v="TBD"/>
    <s v="Solenoid removed and replaced (R&amp;R) with new solenoid from CSP inventory. Defective unit set aside for future bench test and diagnostics. At that time, it will be determined if discard or repair. Root cause to be updated following diagnostics."/>
    <s v="Delayed Test"/>
    <s v="029-18"/>
    <s v="N/A"/>
  </r>
  <r>
    <s v="EMR-380"/>
    <s v="Unit will not run.  Alarm ( SYS1 HILO PSI)"/>
    <x v="0"/>
    <s v="TBD"/>
    <s v="Carl Haenel"/>
    <s v="Jimmie Dowd"/>
    <x v="104"/>
    <d v="2018-08-02T00:00:00"/>
    <n v="0"/>
    <s v="PIT5"/>
    <s v="High Bay"/>
    <s v="CSZ Thermal Chamber"/>
    <s v="Temperature Control Unit"/>
    <m/>
    <m/>
    <m/>
    <n v="0"/>
    <n v="0"/>
    <s v="Jimmie Dowd"/>
    <s v="TBD"/>
    <s v="TBD"/>
    <s v="TBD"/>
    <s v="DISREGARD THIS EMR. EMR Entered in Error."/>
    <s v="Stopped Test"/>
    <s v="197-17"/>
    <s v="N/A"/>
  </r>
  <r>
    <s v="EMR-381"/>
    <s v="The AG-303 in cell 1 will not develop more than 10ksi due to a leaking rod seal. Needs rebuild. Recently placed back into service after 2 years."/>
    <x v="0"/>
    <s v="2"/>
    <s v="Robert Frenzel"/>
    <s v="Robert Frenzel"/>
    <x v="104"/>
    <d v="2018-08-23T00:00:00"/>
    <n v="21"/>
    <s v="CELL1"/>
    <s v="Medium Bay"/>
    <s v="Gas Booster AG-303 "/>
    <s v="Gas Booster"/>
    <s v="Haskel"/>
    <s v="AG-303"/>
    <s v="N/A"/>
    <n v="0"/>
    <n v="0"/>
    <s v="HCTC Maintenance"/>
    <s v="Serviceable – Repair (In-House)"/>
    <s v="PNEUMATIC (leaks, valves, seals, etc.)"/>
    <s v="COMPONENT WEAR &amp; TEAR"/>
    <s v="Seal repair kit install needed._x000d__x000a_13 Aug; Repair complete and booster replaced into panel._x000d__x000a_Cell 1 ready for SIT. Closed"/>
    <s v="N/A-Not Applicable"/>
    <s v="N/A"/>
    <s v="N/A"/>
  </r>
  <r>
    <s v="EMR-382"/>
    <s v="Lost com with TCU on cells with software 3.1 and above. RS 485 TCU serial com not functioning on cells with rev 3.1 software."/>
    <x v="0"/>
    <s v="2"/>
    <s v="Robert Frenzel"/>
    <s v="Jimmie Dowd"/>
    <x v="104"/>
    <d v="2018-08-08T00:00:00"/>
    <n v="6"/>
    <s v="CELL16"/>
    <s v="Medium Bay"/>
    <s v="DAQ-CTRL System Serial Interface"/>
    <s v="DAQ-CTRL System I/O"/>
    <m/>
    <m/>
    <m/>
    <n v="0"/>
    <n v="0"/>
    <s v="John Amstadt (Erdosmiller)"/>
    <s v="Serviceable – Repair (Contractor)"/>
    <s v="SOFTWARE ANOMALY"/>
    <s v="TBD"/>
    <s v="(Frenzel): Restarted the TCU, manifold software and cRIO. No com. Resistor is in place. Polarity of connections double checked._x000d__x000a_"/>
    <s v="N/A-Not Applicable"/>
    <s v="N/A"/>
    <s v="N/A"/>
  </r>
  <r>
    <s v="EMR-383"/>
    <s v=" Valve cycle test pause function does not resume. Software restart required."/>
    <x v="0"/>
    <s v="2"/>
    <s v="Robert Frenzel"/>
    <s v="Robert Frenzel"/>
    <x v="104"/>
    <d v="2018-08-14T00:00:00"/>
    <n v="12"/>
    <s v="CELL15"/>
    <s v="Medium Bay"/>
    <s v="DAQ-CTRL System Software"/>
    <s v="DAQ-CTRL System I/O"/>
    <m/>
    <m/>
    <m/>
    <n v="0"/>
    <n v="0"/>
    <s v="John Amstadt (Erdosmiller)"/>
    <s v="Serviceable – Repair (Contractor)"/>
    <s v="SOFTWARE ANOMALY"/>
    <s v="TBD"/>
    <s v="Erdosmiller notified.  Investigate recent software changes at rev 3.1._x000d__x000a_14Aug18; Programming error corrected. "/>
    <s v="Minimal"/>
    <s v="056-18"/>
    <s v="N/A"/>
  </r>
  <r>
    <s v="EMR-384"/>
    <s v="Camera power was not in CAE scope for Waller bunkers because IP camera systems were to be provided by another vendor.  Rather than have separate 24VDC camera power supplies, test cell 24V power can be used._x000d__x000a_Power cables are run in all but 5 &amp; 6 but not connected. Installation of cables will be required in cells 5 &amp; 6._x000d__x000a_"/>
    <x v="0"/>
    <s v="2"/>
    <s v="Robert Frenzel"/>
    <s v="Robert Frenzel"/>
    <x v="105"/>
    <d v="2018-08-23T00:00:00"/>
    <n v="20"/>
    <s v="CELLS (1-6)_(23-24)"/>
    <s v="Medium Bay"/>
    <s v="Camera (Bunker)"/>
    <s v="Camera System"/>
    <m/>
    <s v="None"/>
    <s v="None"/>
    <n v="0"/>
    <n v="0"/>
    <s v="HCTC Maintenance"/>
    <s v="System Installation"/>
    <s v="N/A-No Failure"/>
    <s v="MODIFICATION or UPGRADE"/>
    <s v="HCTC Maintenance notified. _x000d__x000a_23aug; Wiring of Waller bunker cameras completed "/>
    <s v="N/A-Not Applicable"/>
    <s v="N/A"/>
    <s v="N/A"/>
  </r>
  <r>
    <s v="EMR-385"/>
    <s v="Pump stopped working, cannot pump from pit to evans unit."/>
    <x v="0"/>
    <s v="1"/>
    <s v="Chris Goodwater"/>
    <s v="Jimmie Dowd"/>
    <x v="106"/>
    <d v="2018-08-06T00:00:00"/>
    <n v="0"/>
    <s v="CELL15"/>
    <s v="Medium Bay"/>
    <s v="Sump Pump (medium bay bunkers)"/>
    <s v="Sump Pump"/>
    <s v="Sandpiper"/>
    <s v="S0781P2PPNS000"/>
    <s v="N/A"/>
    <n v="0"/>
    <n v="0"/>
    <s v="HCTC Maintenance"/>
    <s v="Serviceable – Repair (In-House)"/>
    <s v="N/A-No Failure"/>
    <s v="Other"/>
    <s v="(Patrick Hooten): The pump is working fine. The unit is full and needs to be pumped out. The float switch is stopping the pump from running. Complete."/>
    <s v="Potential Impact"/>
    <s v="056-18"/>
    <s v="Pump failure could result delayed test or test stoppage. A tote maybe required to resume testing."/>
  </r>
  <r>
    <s v="EMR-386"/>
    <s v="Operator key is missing. CELL1 is non operational without the key installed."/>
    <x v="0"/>
    <s v="2"/>
    <s v="Anthony Ramos"/>
    <s v="Robert Frenzel"/>
    <x v="106"/>
    <d v="2018-08-29T00:00:00"/>
    <n v="23"/>
    <s v="CELL1"/>
    <s v="Medium Bay"/>
    <s v="Operator Key Switch"/>
    <s v="Control Console"/>
    <m/>
    <m/>
    <m/>
    <n v="0"/>
    <n v="0"/>
    <s v="HCTC Systems Group"/>
    <s v="Serviceable – Repair (In-House)"/>
    <s v="N/A-No Failure"/>
    <s v="Other"/>
    <s v="(CAE-Andrew Barbour): I never saw the key both times I was there. This last trip I asked Bob about the key and he seemed to think that the technicians had it stored somewhere._x000d__x000a__x000d__x000a_(Dowd): CAE does not have the operator key for CELL1.  Keys will have to be made._x000d__x000a__x000d__x000a_17Aug; Replacement switches w/keys ordered. Less expensive than making new key for old switch._x000d__x000a_Switch bypassed so SIT can continue. Bypass results in no risk to personell or equipment._x000d__x000a_"/>
    <s v="N/A-Not Applicable"/>
    <s v="N/A"/>
    <s v="Operator key switch bypassed to allow SIT tests. No risk to equipment."/>
  </r>
  <r>
    <s v="EMR-387"/>
    <s v=" Pump will not produce more than 4500 psi "/>
    <x v="0"/>
    <s v="1"/>
    <s v="Kyle Box"/>
    <s v="Robert Frenzel"/>
    <x v="107"/>
    <d v="2018-08-29T00:00:00"/>
    <n v="20"/>
    <s v="CELL22"/>
    <s v="Medium Bay"/>
    <s v="Dynex Pump H-6"/>
    <s v="Hydraulic Pump"/>
    <m/>
    <m/>
    <m/>
    <n v="0"/>
    <n v="0"/>
    <s v="HCTC Maintenance"/>
    <s v="Serviceable – Repair (In-House)"/>
    <s v="HYDRAULIC (leaks, valves, seals, etc.)"/>
    <s v="COMPONENT WEAR &amp; TEAR"/>
    <s v="(HCTC Maintenance-Rigo): Pat and I got the newer pump making steady pressure. We used a part from the old red pump to make it work and thoroughly cleaned the black pump internally. We only took too about 6000 psi. _x000d__x000a_We are taking the pump back to the cell for a higher pressure test. Rigo._x000d__x000a_24Aug18, RAF; Test at bunker partially successful. Pump was making odd noises and was rebuilt again._x000d__x000a_Successful the second time. Pump in service."/>
    <s v="Stopped Test"/>
    <s v="147-17"/>
    <s v="N/A"/>
  </r>
  <r>
    <s v="EMR-388"/>
    <s v="Test fluid in cRIO electrical enclosure. Electrical system exposed to test fluid._x000d__x000a_Test cell shut down until electrical system can be dried out._x000d__x000a_"/>
    <x v="0"/>
    <s v="1"/>
    <s v="Robert Frenzel"/>
    <s v="Robert Frenzel"/>
    <x v="108"/>
    <d v="2018-08-23T00:00:00"/>
    <n v="13"/>
    <s v="CELL18"/>
    <s v="Medium Bay"/>
    <s v="DAQ System Enclosures"/>
    <s v="DAQ-CTRL System"/>
    <m/>
    <m/>
    <m/>
    <n v="0"/>
    <n v="0"/>
    <s v="HCTC Systems Group"/>
    <s v="Physical Mitigation"/>
    <s v="ELECTRONIC COMPONENTS"/>
    <s v="OPERATOR ERROR"/>
    <s v=" Vacuum fluid from electrical enclosure and dry out._x000d__x000a_Enclosures left open to dry._x000d__x000a_23Aug; Bunker/test continued to operate despite recommendation to wait until system can be dried out and enclosure doors closed._x000d__x000a_Closing EMR"/>
    <s v="Stopped Test"/>
    <s v="147-17"/>
    <s v="N/A"/>
  </r>
  <r>
    <s v="EMR-389"/>
    <s v="Gas booster in cell 15 would not operate.  After investigation it was narrowed down to the regulator.  We pulled the regulator from cell 17 to swap out and this fixed the issue in cell 15.  Cell 17 is tagged out now and the broken regulator is located on the computer console."/>
    <x v="0"/>
    <s v="2"/>
    <s v="Chris Goodwater"/>
    <s v="Rigoberto Villarruel"/>
    <x v="109"/>
    <d v="2018-09-18T00:00:00"/>
    <n v="28"/>
    <s v="CELL17"/>
    <s v="Medium Bay"/>
    <s v="Pressure Regulator (Gas Booster Air Supply Regulator)"/>
    <s v="Pressure Regulator"/>
    <s v="Wilkerson"/>
    <s v="R31-08-R00"/>
    <s v="N/A"/>
    <n v="0"/>
    <n v="0"/>
    <s v="HCTC Maintenance"/>
    <s v="Serviceable – Repair (In-House)"/>
    <s v="PNEUMATIC (leaks, valves, seals, etc.)"/>
    <s v="TBD"/>
    <s v="HCTC Maintenance trouble shooting and repair of defective regulator._x000d__x000a__x000d__x000a_9/17/18 Pat and I cleaned the regulator and found it full of  air compressor oil . The  regulator was checked and placed back in service in cell 17. Note * There are now three new regulators in J99-Critical parts inventory. Rigo"/>
    <s v="Delayed Test"/>
    <s v="056-18"/>
    <s v="N/A"/>
  </r>
  <r>
    <s v="EMR-390"/>
    <s v="cRIO goes into safe mode and will not respond."/>
    <x v="0"/>
    <s v="1"/>
    <s v="Robert Frenzel"/>
    <s v="Jimmie Dowd"/>
    <x v="109"/>
    <d v="2018-08-23T00:00:00"/>
    <n v="2"/>
    <s v="CELL18"/>
    <s v="Medium Bay"/>
    <s v="DAQ-CTRL System (cRIO)"/>
    <s v="DAQ-CTRL System"/>
    <s v="National Instruments"/>
    <s v="NI CompactRIO "/>
    <s v="N/A"/>
    <n v="0"/>
    <n v="0"/>
    <s v="John Amstadt (Erdosmiller)"/>
    <s v="Serviceable – Repair (Contractor)"/>
    <s v="DAQ Hardware Anomaly"/>
    <s v="Unknown"/>
    <s v="8/23/18: Root cause unknown. The cRIO would only crash and revert to safe mode in the event of a critical Linux error."/>
    <s v="Delayed Test"/>
    <s v="176-17"/>
    <s v="N/A"/>
  </r>
  <r>
    <s v="EMR-391"/>
    <s v=" Oxygen sensor alarming display says low voltage.  Loud ringing sound and flashing blue light."/>
    <x v="0"/>
    <s v="2"/>
    <s v="Chris Goodwater"/>
    <s v="Robert Frenzel"/>
    <x v="110"/>
    <d v="2018-08-23T00:00:00"/>
    <n v="1"/>
    <s v="CELL15"/>
    <s v="Medium Bay"/>
    <s v="Oxygen Alarm (Audible)"/>
    <s v="Oxygen Monitoring"/>
    <m/>
    <m/>
    <m/>
    <n v="0"/>
    <n v="0"/>
    <s v="HCTC Systems Group"/>
    <s v="Serviceable – Repair (In-House)"/>
    <s v="ELECTRICAL (Power)"/>
    <s v="OPERATING BEYOND DESIGN LIMITS"/>
    <s v="Troubleshooting In-Progress._x000d__x000a_23Aug; 24VDC power supply producing less than 24vdc (approx 23.8vdc) Power supply adjusted to produce 24.1vdc. Alarm stopped and reset. _x000d__x000a_O2 alarm now functioning normally. O2 sensors notoriously sensitive to supply voltage variations."/>
    <s v="No Test Impact "/>
    <s v="056-18"/>
    <s v="N/A"/>
  </r>
  <r>
    <s v="EMR-392"/>
    <s v="Regulator not holding proper setting. This is the 30k regulator located on manifold as an add on item.  It was no longer able to reach his test pressure of 20kpsi.  Item was swapped out with a unit from another manifold room to continue testing and the bad unit is located at cell 22 ready for maintenance to pick up to look into a rebuild."/>
    <x v="1"/>
    <s v="2"/>
    <s v="Chris Goodwater"/>
    <s v="Jimmie Dowd"/>
    <x v="110"/>
    <m/>
    <n v="41.84"/>
    <s v="CELL22"/>
    <s v="Medium Bay"/>
    <s v="Tescom 30K Pressure Regulator"/>
    <s v="Pressure Regulator"/>
    <s v="Emerson"/>
    <s v="50-2261D44A25004"/>
    <s v="N/A"/>
    <n v="0"/>
    <n v="0"/>
    <s v="HCTC Maintenance"/>
    <s v="Serviceable – Repair (In-House)"/>
    <s v="HYDRAULIC (leaks, valves, seals, etc.)"/>
    <s v="COMPONENT WEAR &amp; TEAR"/>
    <s v="Regulator to be rebuilt. Repair kits to be ordered."/>
    <s v="Delayed Test"/>
    <s v="147-17"/>
    <s v="N/A"/>
  </r>
  <r>
    <s v="EMR-393"/>
    <s v=" ¼” pod valve leaked "/>
    <x v="0"/>
    <s v="2"/>
    <s v="Yun Li"/>
    <s v="Jimmie Dowd"/>
    <x v="111"/>
    <d v="2018-08-23T00:00:00"/>
    <n v="0"/>
    <s v="DC-2"/>
    <s v="Low Bay"/>
    <s v="Control Valve (SK-200660-01)"/>
    <s v="Directional Control Valve"/>
    <s v="Cameron"/>
    <s v="SK-200660-01"/>
    <s v="N/A"/>
    <n v="0"/>
    <n v="0"/>
    <s v="HCTC Maintenance"/>
    <s v="Serviceable – Repair (In-House)"/>
    <s v="HYDRAULIC (leaks, valves, seals, etc.)"/>
    <s v="OPERATOR ERROR"/>
    <s v="(Yun Li): After group discussion this morning, we found there was a circuit issue, not 1/4&quot; Pod valve. We have supply lines to feed 1/4&quot; valve. We needed to isolate one supply line from circuit. Now we solved the issue. Please close this EMR."/>
    <s v="Delayed Test"/>
    <s v="167-18"/>
    <s v="N/A"/>
  </r>
  <r>
    <s v="EMR-394"/>
    <s v="Tescom pressure regulator (model 54-2061T24) is leaking."/>
    <x v="0"/>
    <s v="2"/>
    <s v="Yun Li"/>
    <s v="Jimmie Dowd"/>
    <x v="111"/>
    <d v="2018-08-23T00:00:00"/>
    <n v="0"/>
    <s v="DC-1"/>
    <s v="Low Bay"/>
    <s v="Tescom Regulator (54-2000 Series)"/>
    <s v="Pressure Regulator"/>
    <s v="Tescom"/>
    <s v="54-2061T24"/>
    <s v="N/A"/>
    <n v="0"/>
    <n v="0"/>
    <s v="HCTC Maintenance"/>
    <s v="Serviceable – Repair (In-House)"/>
    <s v="HYDRAULIC (leaks, valves, seals, etc.)"/>
    <s v="COMPONENT WEAR &amp; TEAR"/>
    <s v="(Yun Li): We used the high pressure range Tescom regulator in the low pressure circuit, after changed to low pressure  arrange Tescom, it works properly. No need to repair the Tescom regulator. Close EMR."/>
    <s v="Delayed Test"/>
    <s v="156-18"/>
    <s v="N/A"/>
  </r>
  <r>
    <s v="EMR-395"/>
    <s v="(Miller): The Evan’s unit circulation pump is not working on the firetest stand coolant loop.  This caused the test reservoir barrel to get very hot and approach the temperature rating of the Cat pressure pump. The pump is getting power on it but it is not cycling on.  _x000d__x000a_"/>
    <x v="0"/>
    <s v="1"/>
    <s v="Dennis Miller"/>
    <s v="Patrick Hooten"/>
    <x v="112"/>
    <d v="2018-09-07T00:00:00"/>
    <n v="14"/>
    <s v="CELL12"/>
    <s v="Medium Bay"/>
    <s v="Evans Unit (A24-23.25)"/>
    <s v="Water Reclaimation"/>
    <s v="Gulf-Tex Automation"/>
    <s v="Ozonator 1000"/>
    <s v="N/A"/>
    <n v="0"/>
    <n v="0"/>
    <s v="HCTC Maintenance"/>
    <s v="Serviceable – Repair (In-House)"/>
    <s v="MECHANICAL"/>
    <s v="COMPONENT WEAR &amp; TEAR"/>
    <s v="HCTC Maintenance and the Evans contractor determined that the pump motor is defective. Contractor to check on warranty. Option at this time is to cannibalize a motor from an unused Evans unit (possibly one stationed at the Waller cells). Awaiting warranty status prior to taking this action._x000d__x000a__x000d__x000a_8/31/18 Pat/Rigo Replaced bad pump with a new one. "/>
    <s v="Stopped Test"/>
    <s v="N/A"/>
    <s v="N/A"/>
  </r>
  <r>
    <s v="EMR-396"/>
    <s v="C-RIO is not responding to the computers (i.e doesn’t record data, doesn’t responds to the commands and lost the named tag)"/>
    <x v="0"/>
    <s v="1"/>
    <s v="Yun Li"/>
    <s v="Jimmie Dowd"/>
    <x v="113"/>
    <d v="2018-08-27T00:00:00"/>
    <n v="0"/>
    <s v="DC-2"/>
    <s v="Low Bay"/>
    <s v="DAQ-CTRL System (cRIO)"/>
    <s v="DAQ-CTRL System"/>
    <s v="National Instruments"/>
    <s v="NI CompactRIO "/>
    <s v="N/A"/>
    <n v="0"/>
    <n v="0"/>
    <s v="Erdosmiller"/>
    <s v="Serviceable – Repair (In-House)"/>
    <s v="DAQ Hardware Anomaly"/>
    <s v="INSTALLATION ERROR"/>
    <s v="There is an issue with the Actor/Framework configuration associated with the cRIO system that results in this anomaly occuring periodically. This is also an issue observed on the Medium Bay systems and is expected to happen on the Drilling Pit cRIOs as well. The fix for this problem at this time is to power cycle (on/off/on) the cRIOs. It is recommended that the Bay managers make this procedure part of the pre-test checklist or it can become a monthly preventive maintenance task for all cRIO locations."/>
    <s v="Delayed Test"/>
    <s v="167-18"/>
    <s v="N/A"/>
  </r>
  <r>
    <s v="EMR-397"/>
    <s v="C-RIO is not responding to the computers (i.e doesn’t record data, doesn’t responds to the commands and lost the named tag)"/>
    <x v="0"/>
    <s v="1"/>
    <s v="Yun Li"/>
    <s v="Robert Frenzel"/>
    <x v="114"/>
    <d v="2018-08-29T00:00:00"/>
    <n v="1"/>
    <s v="DC-1"/>
    <s v="Low Bay"/>
    <s v="DAQ-CTRL System (cRIO)"/>
    <s v="DAQ-CTRL System"/>
    <s v="National Instruments"/>
    <s v="NI CompactRIO "/>
    <s v="N/A"/>
    <n v="0"/>
    <n v="0"/>
    <s v="Erdosmiller"/>
    <s v="Mitigation Training Recommended"/>
    <s v="N/A-No Failure"/>
    <s v="OPERATOR ERROR"/>
    <s v="Robert Kercheval (IT) called Rohama Khadija (Erdosmiller). This is the second occurance of this anomaly in the past 3 days._x000d__x000a__x000d__x000a_29 Aug, 10:30am;  cRIO failure caused by out of memory condition on the cRIO._x000d__x000a_Out of memory condition caused by techs storing screen shots in cRIO memory instead of on the host computer hard drive._x000d__x000a_cRIO only has a total of 3Gb of solid state memory about 1.5Gb of which is system and program files._x000d__x000a_Stored data and screen shots was over 1 Gb._x000d__x000a_cRIO memory was down to less than 250 Mb._x000d__x000a_Erdos Miller to modify program to purge data files when memory limits are approached. _x000d__x000a_Files will not be purged unless confirmed they are also on the host computer._x000d__x000a_Recommend test engineers get their data from the host computer as quickly as possible after a test."/>
    <s v="Delayed Test"/>
    <s v="156-18"/>
    <s v="Do Not store test data on the cRIO. File mirroring to host computer provided."/>
  </r>
  <r>
    <s v="EMR-398"/>
    <s v="O2 sensor for inside thermal chamber seems to be malfunctioning and alarming. Other 2 sensors in pit 5 are reading fine in same area."/>
    <x v="0"/>
    <s v="2"/>
    <s v="Carl Haenel"/>
    <s v="Rigoberto Villarruel"/>
    <x v="115"/>
    <d v="2018-09-28T00:00:00"/>
    <n v="30"/>
    <s v="PIT5"/>
    <s v="High Bay"/>
    <s v="O2 Sensor (Drilling Pits)"/>
    <s v="Oxygen Monitoring"/>
    <s v="ENMET"/>
    <s v="TBD"/>
    <s v="N/A"/>
    <n v="0"/>
    <n v="0"/>
    <s v="HCTC Maintenance"/>
    <s v="Serviceable – Repair (Contractor)"/>
    <s v="FAILED SENSOR"/>
    <s v="TBD"/>
    <s v="28 Sept. 2018 Job completed ."/>
    <s v="Delayed Test"/>
    <s v="187-17"/>
    <s v="N/A"/>
  </r>
  <r>
    <s v="EMR-399"/>
    <s v="Tescom regulator stopped regulating pilot pressure"/>
    <x v="0"/>
    <s v="2"/>
    <s v="Carl Haenel"/>
    <s v="Jimmie Dowd"/>
    <x v="115"/>
    <d v="2018-08-30T00:00:00"/>
    <n v="1"/>
    <s v="PIT3"/>
    <s v="High Bay"/>
    <s v="Tescom Regulator (54-2000 Series)"/>
    <s v="Pressure Regulator"/>
    <s v="Tescom"/>
    <s v="54-2061T24"/>
    <s v="N/A"/>
    <n v="0"/>
    <n v="0"/>
    <s v="Carl Haenel"/>
    <s v="Serviceable – Repair (In-House)"/>
    <s v="MECHANICAL"/>
    <s v="OPERATING BEYOND DESIGN LIMITS"/>
    <s v="(Haenel): I have disassembled and repaired reusing seals. Another broken pin. Pic is attached of broken pin."/>
    <s v="Delayed Test"/>
    <s v="169-18"/>
    <s v="N/A"/>
  </r>
  <r>
    <s v="EMR-400"/>
    <s v="Will not produce pressure.  Regulator was set at 6200psi working fine then gradually settled down to around 5000psi and will not increase with regulator adjustment.  There are no odd noises coming from pump."/>
    <x v="0"/>
    <s v="1"/>
    <s v="Chris Goodwater"/>
    <s v="Robert Frenzel"/>
    <x v="116"/>
    <d v="2018-08-31T00:00:00"/>
    <n v="1"/>
    <s v="CELL22"/>
    <s v="Medium Bay"/>
    <s v="Dynex Pump H-6"/>
    <s v="Hydraulic Pump"/>
    <m/>
    <m/>
    <m/>
    <n v="0"/>
    <n v="0"/>
    <s v="HCTC Maintenance"/>
    <s v="Serviceable – Repair (In-House)"/>
    <s v="HYDRAULIC (leaks, valves, seals, etc.)"/>
    <s v="COMPONENT WEAR &amp; TEAR"/>
    <s v="HCTC Maintenance replaced defective filter o-ring._x000d__x000a_30Aug, RAF- Pump now producing pressure. EMR closed"/>
    <s v="Stopped Test"/>
    <s v="147-17"/>
    <s v="N/A"/>
  </r>
  <r>
    <s v="EMR-401"/>
    <s v="Pump will not produce over 5k."/>
    <x v="1"/>
    <s v="1"/>
    <s v="Kyle Box"/>
    <s v="Rigoberto Villarruel"/>
    <x v="117"/>
    <m/>
    <n v="28.84"/>
    <s v="CELL22"/>
    <s v="Medium Bay"/>
    <s v="Dynex Pump H-6"/>
    <s v="Hydraulic Pump"/>
    <m/>
    <m/>
    <m/>
    <n v="0"/>
    <n v="0"/>
    <s v="HCTC Maintenance"/>
    <s v="Serviceable – Repair (In-House)"/>
    <s v="TBD"/>
    <s v="TBD"/>
    <s v="28 Sept 2018 Dynex bearing item number 11 on the drawing recieved ."/>
    <s v="Stopped Test"/>
    <s v="147-17"/>
    <s v="N/A"/>
  </r>
  <r>
    <s v="EMR-402"/>
    <s v=" The PVC fittings on top of the pump are spraying water.  It might be loose or broken."/>
    <x v="0"/>
    <s v="1"/>
    <s v="Dennis Miller"/>
    <s v="Jimmie Dowd"/>
    <x v="118"/>
    <d v="2018-09-05T00:00:00"/>
    <n v="0"/>
    <s v="CELL12"/>
    <s v="Medium Bay"/>
    <s v="Evans Unit (A24-23.25)"/>
    <s v="Water Reclaimation"/>
    <s v="Gulf-Tex Automation"/>
    <s v="Ozonator 1000"/>
    <s v="N/A"/>
    <n v="0"/>
    <n v="0"/>
    <s v="HCTC Maintenance"/>
    <s v="Serviceable – Repair (In-House)"/>
    <s v="HYDRAULIC (leaks, valves, seals, etc.)"/>
    <s v="MODIFICATION or UPGRADE"/>
    <s v="HCTC Maintenance tighten the fittings. Leak stopped. "/>
    <s v="Stopped Test"/>
    <s v="172-18"/>
    <s v="N/A"/>
  </r>
  <r>
    <s v="EMR-403"/>
    <s v="The control software doesn’t work properly for DC1 and DC2. C-RIO is not responding to the computers (i.e doesn’t record data, doesn’t responds to the commands and lost the named tag)"/>
    <x v="0"/>
    <s v="1"/>
    <s v="Yun Li"/>
    <s v="Jimmie Dowd"/>
    <x v="118"/>
    <d v="2018-09-13T00:00:00"/>
    <n v="8"/>
    <s v="DC-1"/>
    <s v="Low Bay"/>
    <s v="DAQ-CTRL System (cRIO)"/>
    <s v="DAQ-CTRL System"/>
    <s v="National Instruments"/>
    <s v="NI CompactRIO "/>
    <s v="N/A"/>
    <n v="0"/>
    <n v="0"/>
    <s v="Erdosmiller"/>
    <s v="Serviceable – Repair (Contractor)"/>
    <s v="DAQ Hardware Anomaly"/>
    <s v="TBD"/>
    <s v="Erdosmiller determined that the cRIO was running out of memory due to an error logging script on the cRIO that was inadvertantly left running while troubleshooting the previous EMR. The error logger has been disabled and the memory cleared. "/>
    <s v="Delayed Test"/>
    <s v="167-18"/>
    <s v="N/A"/>
  </r>
  <r>
    <s v="EMR-404"/>
    <s v="Pump and dump program cycle counter not allowing user to add to previous set of counts.  Program resets counter to zero after each launch of program."/>
    <x v="1"/>
    <s v="2"/>
    <s v="Chris Goodwater"/>
    <s v="Jimmie Dowd"/>
    <x v="119"/>
    <m/>
    <n v="26.84"/>
    <s v="CELL16"/>
    <s v="Medium Bay"/>
    <s v="DAQ-CTRL System Software"/>
    <s v="DAQ-CTRL System I/O"/>
    <m/>
    <s v="None"/>
    <s v="None"/>
    <n v="0"/>
    <n v="0"/>
    <s v="John Amstadt (Erdosmiller)"/>
    <s v="Serviceable – Repair (Contractor)"/>
    <s v="SOFTWARE ANOMALY"/>
    <s v="TBD"/>
    <s v="Is this a function that was captured in the SRS? If so, then it needs to be implemented."/>
    <s v="Minimal"/>
    <s v="056-18"/>
    <s v="N/A"/>
  </r>
  <r>
    <s v="EMR-405"/>
    <s v="Bridge A crane didn’t work properly. It couldn’t lift up or lower down the product when pushed the buttons."/>
    <x v="0"/>
    <s v="2"/>
    <s v="Efrain Martinez"/>
    <s v="Rigoberto Villarruel"/>
    <x v="120"/>
    <d v="2018-09-18T00:00:00"/>
    <n v="11"/>
    <s v="Low Bay"/>
    <s v="Low Bay"/>
    <s v="W.C. 3037 (Crane)"/>
    <s v="Cranes"/>
    <m/>
    <m/>
    <m/>
    <n v="0"/>
    <n v="0"/>
    <s v="HCTC Maintenance"/>
    <s v="Serviceable – Repair (In-House)"/>
    <s v="TBD"/>
    <s v="TBD"/>
    <s v="HCTC Maintenance notified._x000d__x000a_9-10-2018 Sent e-mail to Stan and he called Bay Area Crane._x000d__x000a__x000d__x000a_9/13/2018 Bay Area Crane repaired the crane and it is back in service. Technician adjusted the brake and replaced the blown fuse. Rigo"/>
    <s v="N/A-Not Applicable"/>
    <s v="N/A"/>
    <s v="N/A"/>
  </r>
  <r>
    <s v="EMR-406"/>
    <s v="Trying to use dual acting actuator valve program, each launch the program loads a spring fail close program and erases previous entry’s on dual acting program.  We’ve shut down and reset the computers and battery backup without any change in behavior._x000d__x000a__x000d__x000a_Also when you open the setting menu for programs it has valve and pump/dump programs overlaying each other until you change entry._x000d__x000a_"/>
    <x v="0"/>
    <s v="1"/>
    <s v="Chris Goodwater"/>
    <s v="Robert Frenzel"/>
    <x v="121"/>
    <d v="2018-09-12T00:00:00"/>
    <n v="2"/>
    <s v="CELL15"/>
    <s v="Medium Bay"/>
    <s v="DAQ-CTRL System (cRIO)"/>
    <s v="DAQ-CTRL System"/>
    <s v="National Instruments"/>
    <s v="NI CompactRIO "/>
    <s v="N/A"/>
    <n v="0"/>
    <n v="0"/>
    <s v="John Amstadt (Erdosmiller)"/>
    <s v="SERVICABLE – REPAIR (in-house)"/>
    <s v="SOFTWARE ANOMALY"/>
    <s v="TBD"/>
    <s v="Erdosmiller notified. John Amstadt to work on this issue on Wednesday, September 12th._x000d__x000a_13sept: RAF: EMR closed. Problem with UI. Proagram was working but didn,t update the UI correctly."/>
    <s v="N/A-Not Applicable"/>
    <s v="147-17"/>
    <m/>
  </r>
  <r>
    <s v="EMR-407"/>
    <s v="While having graph running on auto scrole, the chart while randomly kick its self out to 2003yr pushing your current data way off the chart.  This hasn’t been a one time event.  "/>
    <x v="1"/>
    <s v="2"/>
    <s v="Chris Goodwater"/>
    <s v="Jimmie Dowd"/>
    <x v="122"/>
    <m/>
    <n v="20.84"/>
    <s v="CELL18"/>
    <s v="Medium Bay"/>
    <s v="DAQ-CTRL System Software"/>
    <s v="DAQ-CTRL System I/O"/>
    <s v="National Instruments"/>
    <s v="N/A"/>
    <s v="N/A"/>
    <n v="0"/>
    <n v="0"/>
    <s v="John Amstadt (Erdosmiller)"/>
    <s v="Serviceable – Repair (Contractor)"/>
    <s v="Inaccurate Data Display"/>
    <s v="Software Anomaly"/>
    <s v="Erdosmiller notified."/>
    <s v="Minimal"/>
    <s v="056-18"/>
    <m/>
  </r>
  <r>
    <s v="EMR-408"/>
    <s v="After update to repair broken cycle counter in pump/dump program, the program will not perform pump/dumps.  It launches but will not cycle the supply/vent valves on that port after criteria is met."/>
    <x v="1"/>
    <s v="1"/>
    <s v="Chris Goodwater"/>
    <s v="Jimmie Dowd"/>
    <x v="123"/>
    <m/>
    <n v="19.84"/>
    <s v="CELL16"/>
    <s v="Medium Bay"/>
    <s v="DAQ-CTRL System Software"/>
    <s v="DAQ-CTRL System I/O"/>
    <s v="National Instruments"/>
    <s v="N/A"/>
    <s v="N/A"/>
    <m/>
    <m/>
    <s v="John Amstadt (Erdosmiller)"/>
    <s v="TBD"/>
    <s v="Failed Software Function"/>
    <s v="TBD"/>
    <s v="Erdomiller notified."/>
    <s v="Stopped Test"/>
    <s v="056-18"/>
    <m/>
  </r>
  <r>
    <s v="EMR-409"/>
    <s v="Air regulator is leaking and needs to be replaced before failure.  "/>
    <x v="1"/>
    <s v="2"/>
    <s v="Carl Haenel"/>
    <s v="Rigoberto Villarruel"/>
    <x v="124"/>
    <m/>
    <n v="18.84"/>
    <s v="PITS (1-5)"/>
    <s v="High Bay"/>
    <s v="Pressure Regulator (HPU Pits 1-4)"/>
    <s v="Pressure Regulator"/>
    <s v="Excelon"/>
    <s v="B73G-3AK-AD3-RMG"/>
    <s v="N/A"/>
    <n v="0"/>
    <n v="0"/>
    <s v="HCTC Maintenance"/>
    <s v="SERVICABLE – REPAIR (in-house)"/>
    <s v="Pneumatic (Leaks, Valves, Seals, Etc.)"/>
    <s v="TBD"/>
    <s v="28 Sept 2018 Parts on order and shipped but the regulators were not in the box with the other parts on the same PO. Called vendor and he will get back to me as to where the parts are."/>
    <s v="Potential Impact"/>
    <s v="N/A"/>
    <m/>
  </r>
  <r>
    <s v="EMR-410"/>
    <s v="Valve not opening, discovered setscrew missing but didn’t find laying on floor.  Since in middle of testing I am venting through VBV-2 so I can keep going.  Expect to look for missing setscrew after testing is complete and I can move equipment out of area.  I would also suggest we look into using Loctite on these setscrews."/>
    <x v="0"/>
    <s v="2"/>
    <s v="Chris Goodwater"/>
    <s v="Rigoberto Villarruel"/>
    <x v="124"/>
    <d v="2018-09-19T00:00:00"/>
    <n v="5"/>
    <s v="CELL16"/>
    <s v="Medium Bay"/>
    <s v="VBV-1"/>
    <s v="Electric Actuated Flow Regulating Needle Valve"/>
    <s v="Parker Autoclave Engineers"/>
    <s v="60VM9081-FRC2"/>
    <s v="N/A"/>
    <n v="0"/>
    <n v="0"/>
    <s v="HCTC Maintenance"/>
    <s v="Serviceable – Repair (In-House)"/>
    <s v="Mechanical"/>
    <s v="COMPONENT WEAR &amp; TEAR"/>
    <s v="Find and/or replace set screw. Apply Loctite on the set screws for CELL16 and the remaining test cells when they are available._x000d__x000a__x000d__x000a_9/18/2018 I ordered low strength ( purple loctite ) from Grainger and it came in today. I will check with medium bay leadmen to see when the set screws can by serviced with the purple loctite. _x000d__x000a__x000d__x000a_9/19/2018 I talked to Chris Goodwater and he says he used blue loctite on the set screw. I gave him a tube of the purple loctite on 9/19/2018. Rigo"/>
    <s v="Minimal"/>
    <s v="056-18"/>
    <m/>
  </r>
  <r>
    <s v="EMR-411"/>
    <s v="Unit wasn’t going to its max heat."/>
    <x v="0"/>
    <s v="2"/>
    <s v="Shelby Hadash"/>
    <s v="Jimmie Dowd"/>
    <x v="125"/>
    <m/>
    <m/>
    <s v="CELL18"/>
    <s v="Medium Bay"/>
    <s v="Russells Unit-11"/>
    <s v="Temperature Control Unit"/>
    <s v="None"/>
    <s v="None"/>
    <s v="None"/>
    <m/>
    <m/>
    <s v="HCTC Maintenance"/>
    <s v="Replaced Defective Component"/>
    <s v="Electrical (Heaters)"/>
    <s v="Failed Fuse"/>
    <s v="(Shelby): I checked all the fuses and one was out I got with rigo , and replaced the fuse , unit is working good now ."/>
    <s v="Potential Impact"/>
    <s v="N/A"/>
    <m/>
  </r>
  <r>
    <s v="EMR-412"/>
    <s v="Will not go cold, once temp is set to 100 it throws a chamber fault , if its above 100 it will work fine."/>
    <x v="1"/>
    <s v="2"/>
    <s v="Shelby Hadash"/>
    <s v="Rigoberto Villarruel"/>
    <x v="126"/>
    <m/>
    <n v="13.84"/>
    <s v="Medium Bay"/>
    <s v="Medium Bay"/>
    <s v="Russells Unit-6"/>
    <s v="Temperature Control Unit"/>
    <m/>
    <m/>
    <s v="None"/>
    <n v="0"/>
    <n v="0"/>
    <s v="HCTC Maintenance"/>
    <s v="TBD"/>
    <s v="TCU Failed Cooling"/>
    <s v="TBD"/>
    <s v="9/24/2018 New Valcor 1/4&quot; npt solenoid valves installed. P/N SV97C88HC3B. New copper tubing installed and raised to allow backup wrench to be used to prevent copper tube from twisting closed. _x000d__x000a_WIP on now getting unit a  operational check."/>
    <s v="Potential Impact"/>
    <s v="N/A"/>
    <m/>
  </r>
  <r>
    <s v="EMR-413"/>
    <s v="Going cold and the heater chamber ice blocked , seems like the defrost isn’t working correctly."/>
    <x v="1"/>
    <s v="2"/>
    <s v="Shelby Hadash"/>
    <s v="Jimmie Dowd"/>
    <x v="126"/>
    <m/>
    <n v="13.84"/>
    <s v="Medium Bay"/>
    <s v="Medium Bay"/>
    <s v="Bemco Unit -2"/>
    <s v="Temperature Control Unit"/>
    <s v="Bemco Inc."/>
    <s v="PTS-100/1000F-1500LN"/>
    <s v="Bemco Unit -2"/>
    <m/>
    <m/>
    <s v="HCTC Maintenance"/>
    <s v="TBD"/>
    <s v="TCU Failed Defrost"/>
    <s v="TBD"/>
    <s v="HCTC Maintenance notified."/>
    <s v="Potential Impact"/>
    <s v="N/A"/>
    <m/>
  </r>
  <r>
    <s v="EMR-414"/>
    <s v="Not heating fully, and cold light is  on all the time "/>
    <x v="1"/>
    <s v="2"/>
    <s v="Shelby Hadash"/>
    <s v="Jimmie Dowd"/>
    <x v="126"/>
    <m/>
    <n v="13.84"/>
    <s v="Medium Bay"/>
    <s v="Medium Bay"/>
    <s v="Bemco Unit -5"/>
    <s v="Temperature Control Unit"/>
    <s v="Bemco Inc."/>
    <s v="TBD"/>
    <s v="Bemco Unit -5"/>
    <m/>
    <m/>
    <s v="HCTC Maintenance"/>
    <s v="TBD"/>
    <s v="TCU Failed Heating"/>
    <s v="TBD"/>
    <s v="Heaters and heater wire need to be replaced. Replace insulation."/>
    <s v="Potential Impact"/>
    <s v="N/A"/>
    <m/>
  </r>
  <r>
    <s v="EMR-415"/>
    <s v="Not heating up fully , only will heat up to a certain temp."/>
    <x v="1"/>
    <s v="2"/>
    <s v="Shelby Hadash"/>
    <s v="Jimmie Dowd"/>
    <x v="126"/>
    <m/>
    <n v="13.84"/>
    <s v="Medium Bay"/>
    <s v="Medium Bay"/>
    <s v="Bemco Unit -4"/>
    <s v="Temperature Control Unit"/>
    <s v="Bemco Inc."/>
    <s v="PTS-100/1000F-1500LN"/>
    <s v="Bemco Unit -4"/>
    <m/>
    <m/>
    <s v="HCTC Maintenance"/>
    <s v="TBD"/>
    <s v="TCU Failed Heating"/>
    <s v="TBD"/>
    <s v="Troubleshooting in-progress."/>
    <s v="Potential Impact"/>
    <s v="N/A"/>
    <m/>
  </r>
  <r>
    <s v="EMR-416"/>
    <s v="Need to put 30 amp plug on unit.  Right now unit has 60 amp plug. "/>
    <x v="0"/>
    <s v="2"/>
    <s v="Anthony Ramos"/>
    <s v="Rigoberto Villarruel"/>
    <x v="126"/>
    <d v="2018-09-19T00:00:00"/>
    <n v="0"/>
    <s v="Medium Bay"/>
    <s v="Medium Bay"/>
    <s v="Russells Unit-4"/>
    <s v="Temperature Control Unit"/>
    <m/>
    <m/>
    <s v="None"/>
    <n v="0"/>
    <n v="0"/>
    <s v="HCTC Maintenance"/>
    <s v="System Modification"/>
    <s v="N/A-No Failure"/>
    <s v="MODIFICATION or UPGRADE"/>
    <s v="HCTC Maintenance notified._x000d__x000a_9/19/2019 30 Amp plug installed on unit-4. Rigo/Pat"/>
    <s v="N/A-Not Applicable"/>
    <s v="N/A"/>
    <m/>
  </r>
  <r>
    <s v="EMR-417"/>
    <s v=" Leaks from bottom nut while under pressure."/>
    <x v="1"/>
    <s v="2"/>
    <s v="Chris Goodwater"/>
    <s v="Jimmie Dowd"/>
    <x v="126"/>
    <m/>
    <n v="13.84"/>
    <s v="CELL15"/>
    <s v="Medium Bay"/>
    <s v="Tescom 30K Pressure Regulator"/>
    <s v="Pressure Regulator"/>
    <s v="Emerson"/>
    <s v="50-2261D44A25004"/>
    <s v="N/A"/>
    <m/>
    <m/>
    <s v="HCTC Maintenance"/>
    <s v="TBD"/>
    <s v="Hydraulic (Leaks, Valves, Seals, Etc.)"/>
    <s v="TBD"/>
    <s v="HCTC Maintenance notified."/>
    <s v="Potential Impact"/>
    <s v="N/A"/>
    <m/>
  </r>
  <r>
    <s v="EMR-418"/>
    <s v="The stem of 2” ball valve from outside of supply line didn’t work properly"/>
    <x v="1"/>
    <s v="1"/>
    <s v="Yun Li"/>
    <s v="Jimmie Dowd"/>
    <x v="127"/>
    <m/>
    <n v="12.84"/>
    <s v="DC-2"/>
    <s v="Low Bay"/>
    <s v="Ball Valve-HYDAC (Drilling Controls)"/>
    <s v="Ball Valve"/>
    <s v="HYDAC"/>
    <s v="KHM3H-SP-2SW-3312"/>
    <s v="N/A"/>
    <m/>
    <m/>
    <s v="HCTC Maintenance"/>
    <s v="SERVICABLE – REPAIR (in-house)"/>
    <s v="TBD"/>
    <s v="COMPONENT WEAR &amp; TEAR"/>
    <s v="Drilling control's personnel using available repair kits to repair valves. Additional repair kits are required to replace what was used. More details required on the failure mode. "/>
    <s v="Minimal"/>
    <s v="N/A"/>
    <m/>
  </r>
  <r>
    <s v="EMR-419"/>
    <s v="One 15 gallon 10k accumulator bottle has a bad bladder. "/>
    <x v="1"/>
    <s v="2"/>
    <s v="Yun Li"/>
    <s v="Jimmie Dowd"/>
    <x v="127"/>
    <m/>
    <n v="12.84"/>
    <s v="Low Bay"/>
    <s v="Low Bay"/>
    <s v="Accumulator (Drilling Controls 10KSI)"/>
    <s v="Accumulators"/>
    <s v="Accumulators, Inc."/>
    <s v="A1510100XS"/>
    <s v="N/A"/>
    <n v="0"/>
    <n v="0"/>
    <s v="HCTC Maintenance"/>
    <s v="Serviceable – Repair (In-House)"/>
    <s v="Hydraulic (Leaks, Valves, Seals, Etc.)"/>
    <s v="COMPONENT WEAR &amp; TEAR"/>
    <s v="Remove the accumulator bottle from the bank and replace the bladder. Bladders to be ordered for CSP inventory."/>
    <s v="Potential Impact"/>
    <s v="N/A"/>
    <s v="N/A"/>
  </r>
  <r>
    <s v="EMR-420"/>
    <s v="The peek seats have been damaged. (see attached pictures)"/>
    <x v="1"/>
    <s v="1"/>
    <s v="Yun Li"/>
    <s v="Jimmie Dowd"/>
    <x v="128"/>
    <m/>
    <n v="8.84"/>
    <s v="DC-2"/>
    <s v="Low Bay"/>
    <s v="Ball Valve-HYDAC (Drilling Controls)"/>
    <s v="Ball Valve"/>
    <s v="HYDAC"/>
    <s v="KHM3H-SP-2SW-3312"/>
    <s v="N/A"/>
    <m/>
    <m/>
    <s v="HCTC Systems Group"/>
    <s v="Replaced Defective Component"/>
    <s v="Hydraulic (Leaks, Valves, Seals, Etc.)"/>
    <s v="OPERATING BEYOND DESIGN LIMITS"/>
    <s v="Replaced the cracked peek seat with Delrin seat._x000a_(Frenzel): Discussions with the technician and others involved realized that this valve is being over pressurized  during static Hydro tests at 7500 psi._x000a_This valve is rated for 6000psi max. The applied pressure is 125% of the valve rated pressure._x000a_The catastrophic damage isn’t happening during cycle testing but at the hydro test when the failing valve is reverse pressured for the hydro._x000a_Suggest a change in the hydro test procedure to use a blind flange or find a gate valve rated for 10ksi to replace the ball valve._x000a_"/>
    <s v="Delayed Test"/>
    <s v="167-18"/>
    <m/>
  </r>
  <r>
    <s v="EMR-421"/>
    <s v="Solenoid Valve D2 CD-FO:5/02   is actuating valve D2 when locking the manifold door causing the normally closed valve to open."/>
    <x v="1"/>
    <s v="2"/>
    <s v="Martin Martinez"/>
    <s v="Jimmie Dowd"/>
    <x v="129"/>
    <m/>
    <n v="6.84"/>
    <s v="CELL5"/>
    <s v="Medium Bay"/>
    <s v="Solenoid Valve (D2 CD-FO_5_02)"/>
    <s v="Solenoid Valve"/>
    <s v="MAC"/>
    <s v="225B-526AAAA"/>
    <s v="N/A"/>
    <n v="0"/>
    <n v="0"/>
    <s v="HCTC Maintenance"/>
    <s v="TBD"/>
    <s v="Inadvertant valve actuation"/>
    <s v="TBD"/>
    <s v="Trouble-shooting. Most likely a wiring issue. Review the CAE wiring schematics to identify root cause."/>
    <s v="Potential Impact"/>
    <s v="N/A"/>
    <m/>
  </r>
  <r>
    <s v="EMR-422"/>
    <s v="Shaft seal on precharge pump for HPU is leaking R-200. "/>
    <x v="1"/>
    <s v="1"/>
    <s v="Carl Haenel"/>
    <s v="Jimmie Dowd"/>
    <x v="130"/>
    <m/>
    <n v="4.84"/>
    <s v="PIT5"/>
    <s v="High Bay"/>
    <s v="Pit 5 HPU"/>
    <s v="Hydraulic Power Unit"/>
    <s v="C-Automation"/>
    <s v="N/A"/>
    <s v="N/A"/>
    <n v="0"/>
    <n v="0"/>
    <s v="HCTC Maintenance"/>
    <s v="TBD"/>
    <s v="Hydraulic (Leaks, Valves, Seals, Etc.)"/>
    <s v="COMPONENT WEAR &amp; TEAR"/>
    <s v="Replace seals for shaft pump required. Obtain part number and order replacements (rush order)."/>
    <s v="Delayed Test"/>
    <s v="197-17"/>
    <s v="N/A"/>
  </r>
  <r>
    <s v="EMR-423"/>
    <s v="15 KSI pressure sensor max out at 9850 psi. Scale appears to read 2x higher than typical scale. 10 KSI sensors on the same test read correct scale and offset."/>
    <x v="1"/>
    <s v="1"/>
    <s v="Robert Galvan"/>
    <s v="Jimmie Dowd"/>
    <x v="130"/>
    <m/>
    <n v="4.84"/>
    <s v="PIT3"/>
    <s v="High Bay"/>
    <s v="DAQ-CTRL System (cRIO)"/>
    <s v="DAQ-CTRL System"/>
    <s v="National Instruments"/>
    <s v="NI CompactRIO "/>
    <s v="N/A"/>
    <m/>
    <m/>
    <s v="Erdosmiller"/>
    <s v="TBD"/>
    <s v="Incorrect Sensor Reading"/>
    <s v="TBD"/>
    <s v="Scanned (2) 15 KSI sensors at different channels with the same result. Investigate the following: Software glitch, transducer cable fault.  Erdosmiller notified for possible sottware issue. "/>
    <s v="Potential Impact"/>
    <s v="198-18"/>
    <m/>
  </r>
  <r>
    <s v="EMR-424"/>
    <s v="Gas booster air supply filter failure due to over pressure. _x000d__x000a_Existing filter was used at TDC which used a lower pressure (120 psi max) air compressor. The air compressor at the HCTC facility is at approximately 140 psi."/>
    <x v="1"/>
    <s v="1"/>
    <s v="Carl Haenel"/>
    <s v="Jimmie Dowd"/>
    <x v="131"/>
    <m/>
    <n v="1.84"/>
    <s v="PIT4"/>
    <s v="High Bay"/>
    <s v="Gas Booster G-12"/>
    <s v="Gas Booster"/>
    <s v="Haskel"/>
    <m/>
    <s v="None"/>
    <n v="0"/>
    <n v="0"/>
    <s v="HCTC Maintenance"/>
    <s v="HARDWARE UPGRADE REQUIRED"/>
    <s v="pressure vessel failure"/>
    <s v="over pressurized component"/>
    <s v="Hatfield &amp; Company has a 200 psi rated filter cartridge. All of the mobile gas booster from the TDC facility will be upgraded to the 200 psi rated filters. _x000d__x000a_Do Not Use the mobile gas boosters until this change-out is complete."/>
    <s v="Potential Impact"/>
    <s v="N/A"/>
    <m/>
  </r>
  <r>
    <s v="EMR-425"/>
    <s v="Tescom Valve NO and Tescom Valve NC are not responding when activating Group A with ER5000 SI."/>
    <x v="1"/>
    <s v="2"/>
    <s v="Martin Martinez"/>
    <s v="Jimmie Dowd"/>
    <x v="132"/>
    <m/>
    <n v="0.84"/>
    <s v="CELL4"/>
    <s v="Medium Bay"/>
    <s v="GROUP A TESCOM AB-FO_3_1"/>
    <s v="Electropneumatic Controller"/>
    <s v="Tescom"/>
    <s v="ER5000SI-1"/>
    <s v="N/A"/>
    <n v="0"/>
    <n v="0"/>
    <s v="HCTC Maintenance"/>
    <s v="Serviceable – Repair (In-House)"/>
    <s v="Valve does not actuate on command"/>
    <s v="TBD"/>
    <s v="(Frenzel): Martin has done some troubleshooting and determined that the problem is not with the valves themselves. He narrowed down the problem to the pressure transducer and Tescom unit. This has happened on another cell also, under a separate EMR. Suggest starting with the 4-20 transmitter and Tescom wiring, connector first._x000a_"/>
    <s v="Potential Impact"/>
    <s v="N/A"/>
    <s v="N/A"/>
  </r>
  <r>
    <s v="EMR-426"/>
    <s v="The 45K Haskel Pump is only pressuring up to approximately 15K."/>
    <x v="1"/>
    <s v="2"/>
    <s v="Martin Martinez"/>
    <s v="Jimmie Dowd"/>
    <x v="132"/>
    <m/>
    <n v="0.84"/>
    <s v="CELL4"/>
    <s v="Medium Bay"/>
    <s v="HYDRO_45000"/>
    <s v="Hydraulic Pump"/>
    <s v="Haskel"/>
    <s v="HF-450"/>
    <s v="N/A"/>
    <n v="0"/>
    <n v="0"/>
    <s v="HCTC Maintenance"/>
    <s v="TBD"/>
    <s v="Pump does not reach rated pressure."/>
    <s v="TBD"/>
    <s v="Verify rebuild kits are in inventory for rebuild. Order rebuild kits as needed. "/>
    <s v="Potential Impact"/>
    <s v="N/A"/>
    <s v="N/A"/>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9EA1B81E-5DE4-4131-85AB-4DEB14661D45}" name="PivotTable1" cacheId="8"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24">
  <location ref="A3:D14" firstHeaderRow="1" firstDataRow="2" firstDataCol="1"/>
  <pivotFields count="26">
    <pivotField subtotalTop="0" showAll="0"/>
    <pivotField subtotalTop="0" showAll="0"/>
    <pivotField axis="axisCol" dataField="1" subtotalTop="0" showAll="0">
      <items count="3">
        <item x="0"/>
        <item x="1"/>
        <item t="default"/>
      </items>
    </pivotField>
    <pivotField subtotalTop="0" showAll="0"/>
    <pivotField subtotalTop="0" showAll="0"/>
    <pivotField subtotalTop="0" showAll="0"/>
    <pivotField axis="axisRow" numFmtId="14" subtotalTop="0" showAll="0">
      <items count="15">
        <item h="1" x="0"/>
        <item x="1"/>
        <item x="2"/>
        <item x="3"/>
        <item x="4"/>
        <item x="5"/>
        <item x="6"/>
        <item x="7"/>
        <item x="8"/>
        <item x="9"/>
        <item x="10"/>
        <item x="11"/>
        <item x="12"/>
        <item h="1" x="13"/>
        <item t="default"/>
      </items>
    </pivotField>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s>
  <rowFields count="1">
    <field x="6"/>
  </rowFields>
  <rowItems count="10">
    <i>
      <x v="1"/>
    </i>
    <i>
      <x v="2"/>
    </i>
    <i>
      <x v="3"/>
    </i>
    <i>
      <x v="4"/>
    </i>
    <i>
      <x v="5"/>
    </i>
    <i>
      <x v="6"/>
    </i>
    <i>
      <x v="7"/>
    </i>
    <i>
      <x v="8"/>
    </i>
    <i>
      <x v="9"/>
    </i>
    <i t="grand">
      <x/>
    </i>
  </rowItems>
  <colFields count="1">
    <field x="2"/>
  </colFields>
  <colItems count="3">
    <i>
      <x/>
    </i>
    <i>
      <x v="1"/>
    </i>
    <i t="grand">
      <x/>
    </i>
  </colItems>
  <dataFields count="1">
    <dataField name="Count of STATUS" fld="2" subtotal="count" showDataAs="percentOfRow" baseField="6" baseItem="3" numFmtId="10"/>
  </dataFields>
  <chartFormats count="2">
    <chartFormat chart="6" format="0" series="1">
      <pivotArea type="data" outline="0" fieldPosition="0">
        <references count="2">
          <reference field="4294967294" count="1" selected="0">
            <x v="0"/>
          </reference>
          <reference field="2" count="1" selected="0">
            <x v="0"/>
          </reference>
        </references>
      </pivotArea>
    </chartFormat>
    <chartFormat chart="6" format="1" series="1">
      <pivotArea type="data" outline="0" fieldPosition="0">
        <references count="2">
          <reference field="4294967294" count="1" selected="0">
            <x v="0"/>
          </reference>
          <reference field="2"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10.bin"/><Relationship Id="rId1" Type="http://schemas.openxmlformats.org/officeDocument/2006/relationships/pivotTable" Target="../pivotTables/pivot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1"/>
  <dimension ref="A1:U26"/>
  <sheetViews>
    <sheetView showGridLines="0" showRowColHeaders="0" topLeftCell="A16" zoomScale="90" zoomScaleNormal="90" workbookViewId="0">
      <selection activeCell="C26" sqref="C26"/>
    </sheetView>
  </sheetViews>
  <sheetFormatPr defaultColWidth="0" defaultRowHeight="15" customHeight="1" zeroHeight="1" x14ac:dyDescent="0.25"/>
  <cols>
    <col min="1" max="1" width="7.5703125" customWidth="1"/>
    <col min="2" max="2" width="23.5703125" customWidth="1"/>
    <col min="3" max="3" width="22.7109375" customWidth="1"/>
    <col min="4" max="5" width="11.7109375" customWidth="1"/>
    <col min="6" max="6" width="9.140625" customWidth="1"/>
    <col min="7" max="7" width="8" customWidth="1"/>
    <col min="8" max="16384" width="9.140625" hidden="1"/>
  </cols>
  <sheetData>
    <row r="1" spans="1:21" ht="66" customHeight="1" x14ac:dyDescent="0.25">
      <c r="A1" s="169" t="s">
        <v>91</v>
      </c>
      <c r="B1" s="169"/>
      <c r="C1" s="176" t="s">
        <v>92</v>
      </c>
      <c r="D1" s="176"/>
      <c r="E1" s="176"/>
      <c r="F1" s="176"/>
      <c r="G1" s="19" t="s">
        <v>1882</v>
      </c>
    </row>
    <row r="2" spans="1:21" ht="15.75" thickBot="1" x14ac:dyDescent="0.3"/>
    <row r="3" spans="1:21" ht="16.5" thickTop="1" x14ac:dyDescent="0.25">
      <c r="B3" s="11" t="s">
        <v>93</v>
      </c>
      <c r="C3" s="12" t="s">
        <v>94</v>
      </c>
      <c r="D3" s="170" t="s">
        <v>6</v>
      </c>
      <c r="E3" s="171"/>
    </row>
    <row r="4" spans="1:21" ht="15.75" thickBot="1" x14ac:dyDescent="0.3">
      <c r="B4" s="23">
        <v>43474</v>
      </c>
      <c r="C4" s="24" t="s">
        <v>79</v>
      </c>
      <c r="D4" s="172"/>
      <c r="E4" s="173"/>
    </row>
    <row r="5" spans="1:21" ht="15.75" x14ac:dyDescent="0.25">
      <c r="B5" s="13" t="s">
        <v>5</v>
      </c>
      <c r="C5" s="14" t="s">
        <v>154</v>
      </c>
      <c r="D5" s="174" t="s">
        <v>7</v>
      </c>
      <c r="E5" s="175"/>
      <c r="F5" s="10"/>
    </row>
    <row r="6" spans="1:21" ht="15.75" thickBot="1" x14ac:dyDescent="0.3">
      <c r="B6" s="25" t="s">
        <v>16</v>
      </c>
      <c r="C6" s="26" t="s">
        <v>554</v>
      </c>
      <c r="D6" s="167"/>
      <c r="E6" s="168"/>
    </row>
    <row r="7" spans="1:21" ht="9" customHeight="1" thickTop="1" x14ac:dyDescent="0.25"/>
    <row r="8" spans="1:21" ht="5.25" customHeight="1" thickBot="1" x14ac:dyDescent="0.3"/>
    <row r="9" spans="1:21" ht="17.25" thickTop="1" thickBot="1" x14ac:dyDescent="0.3">
      <c r="B9" s="146" t="s">
        <v>95</v>
      </c>
      <c r="C9" s="147"/>
      <c r="D9" s="147"/>
      <c r="E9" s="148"/>
    </row>
    <row r="10" spans="1:21" ht="19.5" thickBot="1" x14ac:dyDescent="0.3">
      <c r="B10" s="149" t="s">
        <v>427</v>
      </c>
      <c r="C10" s="150"/>
      <c r="D10" s="150"/>
      <c r="E10" s="151"/>
    </row>
    <row r="11" spans="1:21" ht="6" customHeight="1" thickTop="1" thickBot="1" x14ac:dyDescent="0.3">
      <c r="M11" s="20" t="s">
        <v>100</v>
      </c>
      <c r="N11" t="s">
        <v>87</v>
      </c>
      <c r="U11" s="20" t="s">
        <v>99</v>
      </c>
    </row>
    <row r="12" spans="1:21" ht="15.75" customHeight="1" thickTop="1" x14ac:dyDescent="0.25">
      <c r="B12" s="165"/>
      <c r="C12" s="165"/>
      <c r="D12" s="161" t="s">
        <v>112</v>
      </c>
      <c r="E12" s="162"/>
    </row>
    <row r="13" spans="1:21" ht="16.5" customHeight="1" thickBot="1" x14ac:dyDescent="0.3">
      <c r="B13" s="165"/>
      <c r="C13" s="165"/>
      <c r="D13" s="163"/>
      <c r="E13" s="164"/>
    </row>
    <row r="14" spans="1:21" ht="16.5" thickTop="1" thickBot="1" x14ac:dyDescent="0.3">
      <c r="B14" s="166"/>
      <c r="C14" s="166"/>
    </row>
    <row r="15" spans="1:21" ht="20.25" thickTop="1" thickBot="1" x14ac:dyDescent="0.35">
      <c r="B15" s="152" t="s">
        <v>8</v>
      </c>
      <c r="C15" s="153"/>
      <c r="D15" s="153"/>
      <c r="E15" s="154"/>
    </row>
    <row r="16" spans="1:21" ht="150.75" customHeight="1" thickBot="1" x14ac:dyDescent="0.3">
      <c r="B16" s="155" t="s">
        <v>1883</v>
      </c>
      <c r="C16" s="156"/>
      <c r="D16" s="156"/>
      <c r="E16" s="157"/>
      <c r="M16" t="s">
        <v>98</v>
      </c>
      <c r="N16" s="20" t="s">
        <v>111</v>
      </c>
      <c r="U16" t="s">
        <v>79</v>
      </c>
    </row>
    <row r="17" spans="2:7" ht="22.5" customHeight="1" thickTop="1" thickBot="1" x14ac:dyDescent="0.35">
      <c r="B17" s="15"/>
      <c r="C17" s="15"/>
      <c r="D17" s="15"/>
      <c r="E17" s="15"/>
      <c r="G17" s="16"/>
    </row>
    <row r="18" spans="2:7" ht="20.25" thickTop="1" thickBot="1" x14ac:dyDescent="0.35">
      <c r="B18" s="152" t="s">
        <v>96</v>
      </c>
      <c r="C18" s="153"/>
      <c r="D18" s="153"/>
      <c r="E18" s="154"/>
    </row>
    <row r="19" spans="2:7" ht="150" customHeight="1" thickBot="1" x14ac:dyDescent="0.3">
      <c r="B19" s="158" t="s">
        <v>1885</v>
      </c>
      <c r="C19" s="159"/>
      <c r="D19" s="159"/>
      <c r="E19" s="160"/>
    </row>
    <row r="20" spans="2:7" ht="16.5" thickTop="1" thickBot="1" x14ac:dyDescent="0.3"/>
    <row r="21" spans="2:7" ht="17.25" thickTop="1" thickBot="1" x14ac:dyDescent="0.3">
      <c r="B21" s="17" t="s">
        <v>9</v>
      </c>
      <c r="C21" s="18" t="s">
        <v>97</v>
      </c>
      <c r="D21" s="142" t="s">
        <v>10</v>
      </c>
      <c r="E21" s="143"/>
    </row>
    <row r="22" spans="2:7" ht="15.75" thickBot="1" x14ac:dyDescent="0.3">
      <c r="B22" s="27"/>
      <c r="C22" s="28"/>
      <c r="D22" s="144"/>
      <c r="E22" s="145"/>
    </row>
    <row r="23" spans="2:7" ht="15.75" thickTop="1" x14ac:dyDescent="0.25"/>
    <row r="24" spans="2:7" x14ac:dyDescent="0.25"/>
    <row r="25" spans="2:7" x14ac:dyDescent="0.25"/>
    <row r="26" spans="2:7" x14ac:dyDescent="0.25"/>
  </sheetData>
  <sheetProtection selectLockedCells="1"/>
  <mergeCells count="17">
    <mergeCell ref="D6:E6"/>
    <mergeCell ref="A1:B1"/>
    <mergeCell ref="D3:E3"/>
    <mergeCell ref="D4:E4"/>
    <mergeCell ref="D5:E5"/>
    <mergeCell ref="C1:F1"/>
    <mergeCell ref="D21:E21"/>
    <mergeCell ref="D22:E22"/>
    <mergeCell ref="B9:E9"/>
    <mergeCell ref="B10:E10"/>
    <mergeCell ref="B15:E15"/>
    <mergeCell ref="B16:E16"/>
    <mergeCell ref="B18:E18"/>
    <mergeCell ref="B19:E19"/>
    <mergeCell ref="D12:E12"/>
    <mergeCell ref="D13:E13"/>
    <mergeCell ref="B12:C14"/>
  </mergeCells>
  <conditionalFormatting sqref="D4:E4">
    <cfRule type="containsText" dxfId="6" priority="1" operator="containsText" text="Delayed Test">
      <formula>NOT(ISERROR(SEARCH("Delayed Test",D4)))</formula>
    </cfRule>
    <cfRule type="containsText" dxfId="5" priority="2" operator="containsText" text="Stopped Test">
      <formula>NOT(ISERROR(SEARCH("Stopped Test",D4)))</formula>
    </cfRule>
  </conditionalFormatting>
  <dataValidations count="8">
    <dataValidation allowBlank="1" showInputMessage="1" showErrorMessage="1" prompt="Enter Test Plan when malfunction occurred or enter N/A." sqref="C4" xr:uid="{00000000-0002-0000-0000-000000000000}"/>
    <dataValidation allowBlank="1" showInputMessage="1" showErrorMessage="1" promptTitle="Date Format" prompt="MM/DD/YY" sqref="D6:E6" xr:uid="{00000000-0002-0000-0000-000001000000}"/>
    <dataValidation type="date" allowBlank="1" showInputMessage="1" showErrorMessage="1" promptTitle="Date Format" prompt="MM/DD/YY" sqref="B4" xr:uid="{00000000-0002-0000-0000-000002000000}">
      <formula1>40909</formula1>
      <formula2>44196</formula2>
    </dataValidation>
    <dataValidation type="list" allowBlank="1" showInputMessage="1" showErrorMessage="1" sqref="B22" xr:uid="{00000000-0002-0000-0000-000003000000}">
      <formula1>Action</formula1>
    </dataValidation>
    <dataValidation type="list" allowBlank="1" showInputMessage="1" sqref="C22" xr:uid="{00000000-0002-0000-0000-000004000000}">
      <formula1>Mode</formula1>
    </dataValidation>
    <dataValidation type="list" allowBlank="1" showInputMessage="1" showErrorMessage="1" errorTitle="INVALID EQUIPMENT ID" error="If Equipment is not listed, use the Add Equipment Utility on the EMR STATUS CENTER to add the list." sqref="B10:E10" xr:uid="{00000000-0002-0000-0000-000005000000}">
      <formula1>Equipment</formula1>
    </dataValidation>
    <dataValidation type="list" allowBlank="1" showInputMessage="1" sqref="D4:E4" xr:uid="{00000000-0002-0000-0000-000006000000}">
      <formula1>Impact</formula1>
    </dataValidation>
    <dataValidation type="list" allowBlank="1" showInputMessage="1" sqref="D22:E22" xr:uid="{00000000-0002-0000-0000-000007000000}">
      <formula1>Cause</formula1>
    </dataValidation>
  </dataValidations>
  <printOptions horizontalCentered="1"/>
  <pageMargins left="0.25" right="0.25" top="0.5" bottom="0.5" header="0.3" footer="0.3"/>
  <pageSetup orientation="portrait" r:id="rId1"/>
  <headerFooter>
    <oddFooter>&amp;R&amp;"-,Bold"&amp;8EMR FORM Rev.0
 Work Procedure: WP-0018
3/25/2014
&amp;C&amp;1#&amp;"Calibri"&amp;10 Schlumberger-Private</oddFooter>
  </headerFooter>
  <drawing r:id="rId2"/>
  <legacyDrawing r:id="rId3"/>
  <controls>
    <mc:AlternateContent xmlns:mc="http://schemas.openxmlformats.org/markup-compatibility/2006">
      <mc:Choice Requires="x14">
        <control shapeId="2072" r:id="rId4" name="LAUNCH_SEARCH">
          <controlPr defaultSize="0" print="0" autoLine="0" r:id="rId5">
            <anchor moveWithCells="1">
              <from>
                <xdr:col>1</xdr:col>
                <xdr:colOff>133350</xdr:colOff>
                <xdr:row>22</xdr:row>
                <xdr:rowOff>142875</xdr:rowOff>
              </from>
              <to>
                <xdr:col>1</xdr:col>
                <xdr:colOff>1457325</xdr:colOff>
                <xdr:row>1048575</xdr:row>
                <xdr:rowOff>142875</xdr:rowOff>
              </to>
            </anchor>
          </controlPr>
        </control>
      </mc:Choice>
      <mc:Fallback>
        <control shapeId="2072" r:id="rId4" name="LAUNCH_SEARCH"/>
      </mc:Fallback>
    </mc:AlternateContent>
    <mc:AlternateContent xmlns:mc="http://schemas.openxmlformats.org/markup-compatibility/2006">
      <mc:Choice Requires="x14">
        <control shapeId="2065" r:id="rId6" name="PRINT_FORM">
          <controlPr defaultSize="0" print="0" autoLine="0" r:id="rId7">
            <anchor moveWithCells="1">
              <from>
                <xdr:col>2</xdr:col>
                <xdr:colOff>1114425</xdr:colOff>
                <xdr:row>22</xdr:row>
                <xdr:rowOff>171450</xdr:rowOff>
              </from>
              <to>
                <xdr:col>3</xdr:col>
                <xdr:colOff>533400</xdr:colOff>
                <xdr:row>24</xdr:row>
                <xdr:rowOff>66675</xdr:rowOff>
              </to>
            </anchor>
          </controlPr>
        </control>
      </mc:Choice>
      <mc:Fallback>
        <control shapeId="2065" r:id="rId6" name="PRINT_FORM"/>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xr:uid="{00000000-0002-0000-0000-000008000000}">
          <x14:formula1>
            <xm:f>List!$C$2:$C$35</xm:f>
          </x14:formula1>
          <xm:sqref>C6</xm:sqref>
        </x14:dataValidation>
        <x14:dataValidation type="list" allowBlank="1" showInputMessage="1" xr:uid="{00000000-0002-0000-0000-000009000000}">
          <x14:formula1>
            <xm:f>List!$A2:$A19</xm:f>
          </x14:formula1>
          <xm:sqref>B6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pageSetUpPr fitToPage="1"/>
  </sheetPr>
  <dimension ref="A1:AC500"/>
  <sheetViews>
    <sheetView tabSelected="1" zoomScale="75" zoomScaleNormal="75" workbookViewId="0">
      <pane ySplit="1" topLeftCell="A2" activePane="bottomLeft" state="frozen"/>
      <selection pane="bottomLeft" activeCell="A2" sqref="A2:Z500"/>
    </sheetView>
  </sheetViews>
  <sheetFormatPr defaultRowHeight="39.950000000000003" customHeight="1" x14ac:dyDescent="0.25"/>
  <cols>
    <col min="1" max="1" width="9.140625" style="3"/>
    <col min="2" max="2" width="38.5703125" style="89" customWidth="1"/>
    <col min="3" max="3" width="18" style="3" customWidth="1"/>
    <col min="4" max="4" width="17.85546875" style="3" customWidth="1"/>
    <col min="5" max="5" width="19.5703125" style="60" customWidth="1"/>
    <col min="6" max="6" width="23.5703125" style="60" customWidth="1"/>
    <col min="7" max="7" width="25.42578125" style="9" customWidth="1"/>
    <col min="8" max="8" width="13.7109375" style="3" customWidth="1"/>
    <col min="9" max="9" width="14" style="1" customWidth="1"/>
    <col min="10" max="10" width="23" style="60" customWidth="1"/>
    <col min="11" max="11" width="21.85546875" style="8" customWidth="1"/>
    <col min="12" max="12" width="23" style="3" customWidth="1"/>
    <col min="13" max="13" width="47" style="3" customWidth="1"/>
    <col min="14" max="16" width="22.42578125" style="3" customWidth="1"/>
    <col min="17" max="17" width="18.7109375" style="3" customWidth="1"/>
    <col min="18" max="18" width="15.85546875" style="7" customWidth="1"/>
    <col min="19" max="19" width="20.85546875" style="21" customWidth="1"/>
    <col min="20" max="20" width="17.140625" style="60" customWidth="1"/>
    <col min="21" max="21" width="22.140625" style="94" customWidth="1"/>
    <col min="22" max="22" width="22.5703125" style="104" customWidth="1"/>
    <col min="23" max="23" width="36.7109375" style="102" customWidth="1"/>
    <col min="24" max="24" width="24.5703125" style="96" customWidth="1"/>
    <col min="25" max="25" width="17.140625" style="95" customWidth="1"/>
    <col min="26" max="26" width="20.42578125" style="97" customWidth="1"/>
    <col min="27" max="16384" width="9.140625" style="3"/>
  </cols>
  <sheetData>
    <row r="1" spans="1:29" s="2" customFormat="1" ht="78.75" customHeight="1" thickBot="1" x14ac:dyDescent="0.3">
      <c r="A1" s="4" t="s">
        <v>881</v>
      </c>
      <c r="B1" s="4" t="s">
        <v>883</v>
      </c>
      <c r="C1" s="4" t="s">
        <v>11</v>
      </c>
      <c r="D1" s="4" t="s">
        <v>455</v>
      </c>
      <c r="E1" s="4" t="s">
        <v>882</v>
      </c>
      <c r="F1" s="4" t="s">
        <v>884</v>
      </c>
      <c r="G1" s="4" t="s">
        <v>885</v>
      </c>
      <c r="H1" s="4" t="s">
        <v>886</v>
      </c>
      <c r="I1" s="4" t="s">
        <v>887</v>
      </c>
      <c r="J1" s="4" t="s">
        <v>154</v>
      </c>
      <c r="K1" s="4" t="s">
        <v>888</v>
      </c>
      <c r="L1" s="4" t="s">
        <v>889</v>
      </c>
      <c r="M1" s="4" t="s">
        <v>890</v>
      </c>
      <c r="N1" s="4" t="s">
        <v>899</v>
      </c>
      <c r="O1" s="4" t="s">
        <v>900</v>
      </c>
      <c r="P1" s="4" t="s">
        <v>901</v>
      </c>
      <c r="Q1" s="4" t="s">
        <v>891</v>
      </c>
      <c r="R1" s="4" t="s">
        <v>892</v>
      </c>
      <c r="S1" s="4" t="s">
        <v>463</v>
      </c>
      <c r="T1" s="4" t="s">
        <v>893</v>
      </c>
      <c r="U1" s="4" t="s">
        <v>894</v>
      </c>
      <c r="V1" s="4" t="s">
        <v>895</v>
      </c>
      <c r="W1" s="4" t="s">
        <v>896</v>
      </c>
      <c r="X1" s="4" t="s">
        <v>897</v>
      </c>
      <c r="Y1" s="4" t="s">
        <v>898</v>
      </c>
      <c r="Z1" s="67" t="s">
        <v>277</v>
      </c>
    </row>
    <row r="2" spans="1:29" ht="39.950000000000003" customHeight="1" thickTop="1" x14ac:dyDescent="0.25">
      <c r="A2" s="74" t="s">
        <v>153</v>
      </c>
      <c r="B2" s="85" t="s">
        <v>290</v>
      </c>
      <c r="C2" s="49" t="s">
        <v>19</v>
      </c>
      <c r="D2" s="49" t="s">
        <v>468</v>
      </c>
      <c r="E2" s="62" t="s">
        <v>17</v>
      </c>
      <c r="F2" s="62" t="s">
        <v>17</v>
      </c>
      <c r="G2" s="46">
        <v>42948</v>
      </c>
      <c r="H2" s="47">
        <v>42993</v>
      </c>
      <c r="I2" s="49">
        <v>45</v>
      </c>
      <c r="J2" s="62" t="s">
        <v>172</v>
      </c>
      <c r="K2" s="75" t="s">
        <v>554</v>
      </c>
      <c r="L2" s="76" t="s">
        <v>185</v>
      </c>
      <c r="M2" s="77" t="s">
        <v>213</v>
      </c>
      <c r="N2" s="77" t="s">
        <v>937</v>
      </c>
      <c r="O2" s="77" t="s">
        <v>1209</v>
      </c>
      <c r="P2" s="77" t="s">
        <v>1209</v>
      </c>
      <c r="Q2" s="33">
        <v>0</v>
      </c>
      <c r="R2" s="78">
        <v>0</v>
      </c>
      <c r="S2" s="79" t="s">
        <v>490</v>
      </c>
      <c r="T2" s="78" t="s">
        <v>1022</v>
      </c>
      <c r="U2" s="98" t="s">
        <v>1000</v>
      </c>
      <c r="V2" s="40" t="s">
        <v>990</v>
      </c>
      <c r="W2" s="99" t="s">
        <v>380</v>
      </c>
      <c r="X2" s="90" t="s">
        <v>146</v>
      </c>
      <c r="Y2" s="91" t="s">
        <v>79</v>
      </c>
      <c r="Z2" s="92" t="s">
        <v>296</v>
      </c>
      <c r="AA2" s="80"/>
      <c r="AB2" s="80"/>
      <c r="AC2" s="80"/>
    </row>
    <row r="3" spans="1:29" ht="39.950000000000003" customHeight="1" x14ac:dyDescent="0.25">
      <c r="A3" s="74" t="s">
        <v>186</v>
      </c>
      <c r="B3" s="85" t="s">
        <v>294</v>
      </c>
      <c r="C3" s="49" t="s">
        <v>19</v>
      </c>
      <c r="D3" s="49" t="s">
        <v>468</v>
      </c>
      <c r="E3" s="62" t="s">
        <v>17</v>
      </c>
      <c r="F3" s="62" t="s">
        <v>17</v>
      </c>
      <c r="G3" s="46">
        <v>42963</v>
      </c>
      <c r="H3" s="47">
        <v>43081</v>
      </c>
      <c r="I3" s="49">
        <v>118</v>
      </c>
      <c r="J3" s="62" t="s">
        <v>862</v>
      </c>
      <c r="K3" s="75" t="s">
        <v>79</v>
      </c>
      <c r="L3" s="76" t="s">
        <v>291</v>
      </c>
      <c r="M3" s="77" t="s">
        <v>76</v>
      </c>
      <c r="N3" s="77"/>
      <c r="O3" s="77"/>
      <c r="P3" s="77"/>
      <c r="Q3" s="33">
        <v>0</v>
      </c>
      <c r="R3" s="78">
        <v>0</v>
      </c>
      <c r="S3" s="78" t="s">
        <v>509</v>
      </c>
      <c r="T3" s="78" t="s">
        <v>60</v>
      </c>
      <c r="U3" s="98" t="s">
        <v>1008</v>
      </c>
      <c r="V3" s="40" t="s">
        <v>990</v>
      </c>
      <c r="W3" s="99" t="s">
        <v>451</v>
      </c>
      <c r="X3" s="90" t="s">
        <v>0</v>
      </c>
      <c r="Y3" s="91" t="s">
        <v>79</v>
      </c>
      <c r="Z3" s="92"/>
      <c r="AA3" s="80"/>
      <c r="AB3" s="80"/>
      <c r="AC3" s="80"/>
    </row>
    <row r="4" spans="1:29" ht="39.950000000000003" customHeight="1" x14ac:dyDescent="0.25">
      <c r="A4" s="74" t="s">
        <v>289</v>
      </c>
      <c r="B4" s="85" t="s">
        <v>295</v>
      </c>
      <c r="C4" s="49" t="s">
        <v>19</v>
      </c>
      <c r="D4" s="49"/>
      <c r="E4" s="62" t="s">
        <v>15</v>
      </c>
      <c r="F4" s="62"/>
      <c r="G4" s="46">
        <v>42964</v>
      </c>
      <c r="H4" s="47">
        <v>43103</v>
      </c>
      <c r="I4" s="49">
        <v>139</v>
      </c>
      <c r="J4" s="62" t="s">
        <v>862</v>
      </c>
      <c r="K4" s="75" t="s">
        <v>554</v>
      </c>
      <c r="L4" s="76" t="s">
        <v>293</v>
      </c>
      <c r="M4" s="77" t="s">
        <v>76</v>
      </c>
      <c r="N4" s="77"/>
      <c r="O4" s="77"/>
      <c r="P4" s="77"/>
      <c r="Q4" s="33">
        <v>0</v>
      </c>
      <c r="R4" s="78"/>
      <c r="S4" s="78" t="s">
        <v>509</v>
      </c>
      <c r="T4" s="78" t="s">
        <v>60</v>
      </c>
      <c r="U4" s="98" t="s">
        <v>106</v>
      </c>
      <c r="V4" s="40" t="s">
        <v>67</v>
      </c>
      <c r="W4" s="99" t="s">
        <v>449</v>
      </c>
      <c r="X4" s="90" t="s">
        <v>0</v>
      </c>
      <c r="Y4" s="91"/>
      <c r="Z4" s="92"/>
      <c r="AA4" s="80"/>
      <c r="AB4" s="80"/>
      <c r="AC4" s="80"/>
    </row>
    <row r="5" spans="1:29" ht="39.950000000000003" customHeight="1" x14ac:dyDescent="0.25">
      <c r="A5" s="74" t="s">
        <v>297</v>
      </c>
      <c r="B5" s="85" t="s">
        <v>298</v>
      </c>
      <c r="C5" s="49" t="s">
        <v>19</v>
      </c>
      <c r="D5" s="49"/>
      <c r="E5" s="62" t="s">
        <v>17</v>
      </c>
      <c r="F5" s="62"/>
      <c r="G5" s="46">
        <v>42963</v>
      </c>
      <c r="H5" s="47">
        <v>42969</v>
      </c>
      <c r="I5" s="49">
        <v>6</v>
      </c>
      <c r="J5" s="62" t="s">
        <v>174</v>
      </c>
      <c r="K5" s="75" t="s">
        <v>554</v>
      </c>
      <c r="L5" s="76" t="s">
        <v>192</v>
      </c>
      <c r="M5" s="77" t="s">
        <v>72</v>
      </c>
      <c r="N5" s="77"/>
      <c r="O5" s="77"/>
      <c r="P5" s="77"/>
      <c r="Q5" s="33"/>
      <c r="R5" s="78"/>
      <c r="S5" s="78" t="s">
        <v>490</v>
      </c>
      <c r="T5" s="78" t="s">
        <v>60</v>
      </c>
      <c r="U5" s="98"/>
      <c r="V5" s="40" t="s">
        <v>311</v>
      </c>
      <c r="W5" s="99" t="s">
        <v>308</v>
      </c>
      <c r="X5" s="90" t="s">
        <v>2</v>
      </c>
      <c r="Y5" s="91"/>
      <c r="Z5" s="92" t="s">
        <v>299</v>
      </c>
      <c r="AA5" s="80"/>
      <c r="AB5" s="80"/>
      <c r="AC5" s="80"/>
    </row>
    <row r="6" spans="1:29" ht="39.950000000000003" customHeight="1" x14ac:dyDescent="0.25">
      <c r="A6" s="74" t="s">
        <v>300</v>
      </c>
      <c r="B6" s="85" t="s">
        <v>301</v>
      </c>
      <c r="C6" s="49" t="s">
        <v>19</v>
      </c>
      <c r="D6" s="49"/>
      <c r="E6" s="62" t="s">
        <v>15</v>
      </c>
      <c r="F6" s="62"/>
      <c r="G6" s="46">
        <v>42963</v>
      </c>
      <c r="H6" s="47">
        <v>42969</v>
      </c>
      <c r="I6" s="49">
        <v>6</v>
      </c>
      <c r="J6" s="62" t="s">
        <v>174</v>
      </c>
      <c r="K6" s="75" t="s">
        <v>554</v>
      </c>
      <c r="L6" s="76" t="s">
        <v>272</v>
      </c>
      <c r="M6" s="77" t="s">
        <v>85</v>
      </c>
      <c r="N6" s="77"/>
      <c r="O6" s="77"/>
      <c r="P6" s="77"/>
      <c r="Q6" s="33"/>
      <c r="R6" s="78"/>
      <c r="S6" s="78"/>
      <c r="T6" s="78" t="s">
        <v>60</v>
      </c>
      <c r="U6" s="98" t="s">
        <v>66</v>
      </c>
      <c r="V6" s="40" t="s">
        <v>69</v>
      </c>
      <c r="W6" s="99" t="s">
        <v>309</v>
      </c>
      <c r="X6" s="90" t="s">
        <v>2</v>
      </c>
      <c r="Y6" s="91"/>
      <c r="Z6" s="92" t="s">
        <v>278</v>
      </c>
      <c r="AA6" s="80"/>
      <c r="AB6" s="80"/>
      <c r="AC6" s="80"/>
    </row>
    <row r="7" spans="1:29" ht="39.950000000000003" customHeight="1" x14ac:dyDescent="0.25">
      <c r="A7" s="74" t="s">
        <v>302</v>
      </c>
      <c r="B7" s="85" t="s">
        <v>303</v>
      </c>
      <c r="C7" s="49" t="s">
        <v>19</v>
      </c>
      <c r="D7" s="49"/>
      <c r="E7" s="62" t="s">
        <v>17</v>
      </c>
      <c r="F7" s="62"/>
      <c r="G7" s="46">
        <v>42963</v>
      </c>
      <c r="H7" s="47">
        <v>42969</v>
      </c>
      <c r="I7" s="49">
        <v>6</v>
      </c>
      <c r="J7" s="62" t="s">
        <v>174</v>
      </c>
      <c r="K7" s="75" t="s">
        <v>554</v>
      </c>
      <c r="L7" s="76" t="s">
        <v>189</v>
      </c>
      <c r="M7" s="77" t="s">
        <v>187</v>
      </c>
      <c r="N7" s="77"/>
      <c r="O7" s="77"/>
      <c r="P7" s="77"/>
      <c r="Q7" s="33"/>
      <c r="R7" s="78"/>
      <c r="S7" s="78"/>
      <c r="T7" s="78" t="s">
        <v>60</v>
      </c>
      <c r="U7" s="98"/>
      <c r="V7" s="40" t="s">
        <v>311</v>
      </c>
      <c r="W7" s="99" t="s">
        <v>310</v>
      </c>
      <c r="X7" s="90" t="s">
        <v>2</v>
      </c>
      <c r="Y7" s="91"/>
      <c r="Z7" s="92"/>
      <c r="AA7" s="80"/>
      <c r="AB7" s="80"/>
      <c r="AC7" s="80"/>
    </row>
    <row r="8" spans="1:29" ht="39.950000000000003" customHeight="1" x14ac:dyDescent="0.25">
      <c r="A8" s="74" t="s">
        <v>306</v>
      </c>
      <c r="B8" s="85" t="s">
        <v>307</v>
      </c>
      <c r="C8" s="49" t="s">
        <v>19</v>
      </c>
      <c r="D8" s="49"/>
      <c r="E8" s="62" t="s">
        <v>15</v>
      </c>
      <c r="F8" s="62"/>
      <c r="G8" s="46">
        <v>42965</v>
      </c>
      <c r="H8" s="47">
        <v>42969</v>
      </c>
      <c r="I8" s="49">
        <v>4</v>
      </c>
      <c r="J8" s="62" t="s">
        <v>173</v>
      </c>
      <c r="K8" s="75" t="s">
        <v>554</v>
      </c>
      <c r="L8" s="76" t="s">
        <v>304</v>
      </c>
      <c r="M8" s="77" t="s">
        <v>305</v>
      </c>
      <c r="N8" s="77"/>
      <c r="O8" s="77"/>
      <c r="P8" s="77"/>
      <c r="Q8" s="33"/>
      <c r="R8" s="78"/>
      <c r="S8" s="78"/>
      <c r="T8" s="78" t="s">
        <v>58</v>
      </c>
      <c r="U8" s="98" t="s">
        <v>151</v>
      </c>
      <c r="V8" s="40" t="s">
        <v>67</v>
      </c>
      <c r="W8" s="99" t="s">
        <v>312</v>
      </c>
      <c r="X8" s="90" t="s">
        <v>2</v>
      </c>
      <c r="Y8" s="91"/>
      <c r="Z8" s="92"/>
      <c r="AA8" s="80"/>
      <c r="AB8" s="80"/>
      <c r="AC8" s="80"/>
    </row>
    <row r="9" spans="1:29" ht="39.950000000000003" customHeight="1" x14ac:dyDescent="0.25">
      <c r="A9" s="74" t="s">
        <v>315</v>
      </c>
      <c r="B9" s="85" t="s">
        <v>316</v>
      </c>
      <c r="C9" s="49" t="s">
        <v>19</v>
      </c>
      <c r="D9" s="49"/>
      <c r="E9" s="62" t="s">
        <v>136</v>
      </c>
      <c r="F9" s="62"/>
      <c r="G9" s="46">
        <v>42969</v>
      </c>
      <c r="H9" s="47">
        <v>42969</v>
      </c>
      <c r="I9" s="49">
        <v>0</v>
      </c>
      <c r="J9" s="62" t="s">
        <v>174</v>
      </c>
      <c r="K9" s="64" t="s">
        <v>554</v>
      </c>
      <c r="L9" s="76" t="s">
        <v>313</v>
      </c>
      <c r="M9" s="81" t="s">
        <v>314</v>
      </c>
      <c r="N9" s="81"/>
      <c r="O9" s="81"/>
      <c r="P9" s="81"/>
      <c r="Q9" s="50"/>
      <c r="R9" s="78"/>
      <c r="S9" s="78"/>
      <c r="T9" s="78" t="s">
        <v>58</v>
      </c>
      <c r="U9" s="98" t="s">
        <v>63</v>
      </c>
      <c r="V9" s="40" t="s">
        <v>67</v>
      </c>
      <c r="W9" s="100" t="s">
        <v>317</v>
      </c>
      <c r="X9" s="90" t="s">
        <v>1</v>
      </c>
      <c r="Y9" s="91"/>
      <c r="Z9" s="92"/>
      <c r="AA9" s="80"/>
      <c r="AB9" s="80"/>
      <c r="AC9" s="80"/>
    </row>
    <row r="10" spans="1:29" ht="39.950000000000003" customHeight="1" x14ac:dyDescent="0.25">
      <c r="A10" s="74" t="s">
        <v>318</v>
      </c>
      <c r="B10" s="85" t="s">
        <v>319</v>
      </c>
      <c r="C10" s="49" t="s">
        <v>19</v>
      </c>
      <c r="D10" s="49" t="s">
        <v>468</v>
      </c>
      <c r="E10" s="62" t="s">
        <v>15</v>
      </c>
      <c r="F10" s="62" t="s">
        <v>17</v>
      </c>
      <c r="G10" s="46">
        <v>42983</v>
      </c>
      <c r="H10" s="47">
        <v>42984</v>
      </c>
      <c r="I10" s="49">
        <v>1</v>
      </c>
      <c r="J10" s="62" t="s">
        <v>173</v>
      </c>
      <c r="K10" s="64" t="s">
        <v>554</v>
      </c>
      <c r="L10" s="76" t="s">
        <v>1387</v>
      </c>
      <c r="M10" s="81" t="s">
        <v>75</v>
      </c>
      <c r="N10" s="81" t="s">
        <v>915</v>
      </c>
      <c r="O10" s="81" t="s">
        <v>1388</v>
      </c>
      <c r="P10" s="81"/>
      <c r="Q10" s="50">
        <v>0</v>
      </c>
      <c r="R10" s="78">
        <v>0</v>
      </c>
      <c r="S10" s="78"/>
      <c r="T10" s="78" t="s">
        <v>59</v>
      </c>
      <c r="U10" s="98" t="s">
        <v>953</v>
      </c>
      <c r="V10" s="40" t="s">
        <v>993</v>
      </c>
      <c r="W10" s="100" t="s">
        <v>320</v>
      </c>
      <c r="X10" s="90" t="s">
        <v>3</v>
      </c>
      <c r="Y10" s="91" t="s">
        <v>79</v>
      </c>
      <c r="Z10" s="92"/>
      <c r="AA10" s="80"/>
      <c r="AB10" s="80"/>
      <c r="AC10" s="80"/>
    </row>
    <row r="11" spans="1:29" ht="39.950000000000003" customHeight="1" x14ac:dyDescent="0.25">
      <c r="A11" s="74" t="s">
        <v>321</v>
      </c>
      <c r="B11" s="85" t="s">
        <v>322</v>
      </c>
      <c r="C11" s="62" t="s">
        <v>19</v>
      </c>
      <c r="D11" s="49" t="s">
        <v>468</v>
      </c>
      <c r="E11" s="62" t="s">
        <v>15</v>
      </c>
      <c r="F11" s="62" t="s">
        <v>17</v>
      </c>
      <c r="G11" s="46">
        <v>42983</v>
      </c>
      <c r="H11" s="47">
        <v>43003</v>
      </c>
      <c r="I11" s="49">
        <v>20</v>
      </c>
      <c r="J11" s="62" t="s">
        <v>161</v>
      </c>
      <c r="K11" s="64" t="s">
        <v>554</v>
      </c>
      <c r="L11" s="76" t="s">
        <v>1387</v>
      </c>
      <c r="M11" s="81" t="s">
        <v>75</v>
      </c>
      <c r="N11" s="81" t="s">
        <v>915</v>
      </c>
      <c r="O11" s="81" t="s">
        <v>1388</v>
      </c>
      <c r="P11" s="81" t="s">
        <v>79</v>
      </c>
      <c r="Q11" s="50">
        <v>0</v>
      </c>
      <c r="R11" s="78">
        <v>0</v>
      </c>
      <c r="S11" s="78" t="s">
        <v>582</v>
      </c>
      <c r="T11" s="78" t="s">
        <v>1721</v>
      </c>
      <c r="U11" s="98" t="s">
        <v>953</v>
      </c>
      <c r="V11" s="40" t="s">
        <v>989</v>
      </c>
      <c r="W11" s="101" t="s">
        <v>386</v>
      </c>
      <c r="X11" s="90" t="s">
        <v>952</v>
      </c>
      <c r="Y11" s="91" t="s">
        <v>79</v>
      </c>
      <c r="Z11" s="92" t="s">
        <v>367</v>
      </c>
      <c r="AA11" s="80"/>
      <c r="AB11" s="80"/>
      <c r="AC11" s="80"/>
    </row>
    <row r="12" spans="1:29" ht="39.950000000000003" customHeight="1" x14ac:dyDescent="0.25">
      <c r="A12" s="74" t="s">
        <v>329</v>
      </c>
      <c r="B12" s="85" t="s">
        <v>330</v>
      </c>
      <c r="C12" s="62" t="s">
        <v>19</v>
      </c>
      <c r="D12" s="49"/>
      <c r="E12" s="62" t="s">
        <v>136</v>
      </c>
      <c r="F12" s="62"/>
      <c r="G12" s="46">
        <v>42984</v>
      </c>
      <c r="H12" s="47">
        <v>42985</v>
      </c>
      <c r="I12" s="49">
        <v>1</v>
      </c>
      <c r="J12" s="62" t="s">
        <v>175</v>
      </c>
      <c r="K12" s="64" t="s">
        <v>554</v>
      </c>
      <c r="L12" s="76" t="s">
        <v>326</v>
      </c>
      <c r="M12" s="81" t="s">
        <v>325</v>
      </c>
      <c r="N12" s="81"/>
      <c r="O12" s="81"/>
      <c r="P12" s="81"/>
      <c r="Q12" s="50"/>
      <c r="R12" s="78"/>
      <c r="S12" s="78"/>
      <c r="T12" s="78" t="s">
        <v>59</v>
      </c>
      <c r="U12" s="98" t="s">
        <v>63</v>
      </c>
      <c r="V12" s="40" t="s">
        <v>311</v>
      </c>
      <c r="W12" s="101" t="s">
        <v>336</v>
      </c>
      <c r="X12" s="90" t="s">
        <v>1</v>
      </c>
      <c r="Y12" s="91"/>
      <c r="Z12" s="92"/>
      <c r="AA12" s="80"/>
      <c r="AB12" s="80"/>
      <c r="AC12" s="80"/>
    </row>
    <row r="13" spans="1:29" ht="39.950000000000003" customHeight="1" x14ac:dyDescent="0.25">
      <c r="A13" s="74" t="s">
        <v>331</v>
      </c>
      <c r="B13" s="85" t="s">
        <v>332</v>
      </c>
      <c r="C13" s="62" t="s">
        <v>19</v>
      </c>
      <c r="D13" s="49"/>
      <c r="E13" s="62" t="s">
        <v>136</v>
      </c>
      <c r="F13" s="62"/>
      <c r="G13" s="46">
        <v>42984</v>
      </c>
      <c r="H13" s="47">
        <v>43111</v>
      </c>
      <c r="I13" s="49">
        <v>127</v>
      </c>
      <c r="J13" s="62" t="s">
        <v>175</v>
      </c>
      <c r="K13" s="64" t="s">
        <v>554</v>
      </c>
      <c r="L13" s="76" t="s">
        <v>323</v>
      </c>
      <c r="M13" s="81" t="s">
        <v>324</v>
      </c>
      <c r="N13" s="81"/>
      <c r="O13" s="81"/>
      <c r="P13" s="81"/>
      <c r="Q13" s="50"/>
      <c r="R13" s="78"/>
      <c r="S13" s="78"/>
      <c r="T13" s="78" t="s">
        <v>60</v>
      </c>
      <c r="U13" s="98" t="s">
        <v>63</v>
      </c>
      <c r="V13" s="40" t="s">
        <v>311</v>
      </c>
      <c r="W13" s="100" t="s">
        <v>453</v>
      </c>
      <c r="X13" s="90" t="s">
        <v>2</v>
      </c>
      <c r="Y13" s="91"/>
      <c r="Z13" s="92"/>
      <c r="AA13" s="80"/>
      <c r="AB13" s="80"/>
      <c r="AC13" s="80"/>
    </row>
    <row r="14" spans="1:29" ht="39.950000000000003" customHeight="1" x14ac:dyDescent="0.25">
      <c r="A14" s="74" t="s">
        <v>333</v>
      </c>
      <c r="B14" s="85" t="s">
        <v>334</v>
      </c>
      <c r="C14" s="62" t="s">
        <v>19</v>
      </c>
      <c r="D14" s="49"/>
      <c r="E14" s="62" t="s">
        <v>136</v>
      </c>
      <c r="F14" s="62"/>
      <c r="G14" s="46">
        <v>42984</v>
      </c>
      <c r="H14" s="47">
        <v>43111</v>
      </c>
      <c r="I14" s="49">
        <v>127</v>
      </c>
      <c r="J14" s="62" t="s">
        <v>176</v>
      </c>
      <c r="K14" s="64" t="s">
        <v>554</v>
      </c>
      <c r="L14" s="76" t="s">
        <v>323</v>
      </c>
      <c r="M14" s="81" t="s">
        <v>324</v>
      </c>
      <c r="N14" s="81"/>
      <c r="O14" s="81"/>
      <c r="P14" s="81"/>
      <c r="Q14" s="50"/>
      <c r="R14" s="78"/>
      <c r="S14" s="78"/>
      <c r="T14" s="78" t="s">
        <v>285</v>
      </c>
      <c r="U14" s="98" t="s">
        <v>285</v>
      </c>
      <c r="V14" s="40" t="s">
        <v>285</v>
      </c>
      <c r="W14" s="100" t="s">
        <v>335</v>
      </c>
      <c r="X14" s="90" t="s">
        <v>2</v>
      </c>
      <c r="Y14" s="91"/>
      <c r="Z14" s="92"/>
      <c r="AA14" s="80"/>
      <c r="AB14" s="80"/>
      <c r="AC14" s="80"/>
    </row>
    <row r="15" spans="1:29" ht="39.950000000000003" customHeight="1" x14ac:dyDescent="0.25">
      <c r="A15" s="74" t="s">
        <v>340</v>
      </c>
      <c r="B15" s="85" t="s">
        <v>342</v>
      </c>
      <c r="C15" s="62" t="s">
        <v>19</v>
      </c>
      <c r="D15" s="49"/>
      <c r="E15" s="62" t="s">
        <v>341</v>
      </c>
      <c r="F15" s="62"/>
      <c r="G15" s="46">
        <v>42985</v>
      </c>
      <c r="H15" s="47">
        <v>42992</v>
      </c>
      <c r="I15" s="49">
        <v>7</v>
      </c>
      <c r="J15" s="62" t="s">
        <v>175</v>
      </c>
      <c r="K15" s="64" t="s">
        <v>554</v>
      </c>
      <c r="L15" s="76" t="s">
        <v>338</v>
      </c>
      <c r="M15" s="81" t="s">
        <v>339</v>
      </c>
      <c r="N15" s="81"/>
      <c r="O15" s="81"/>
      <c r="P15" s="81"/>
      <c r="Q15" s="50"/>
      <c r="R15" s="78"/>
      <c r="S15" s="78" t="s">
        <v>490</v>
      </c>
      <c r="T15" s="78" t="s">
        <v>60</v>
      </c>
      <c r="U15" s="98" t="s">
        <v>62</v>
      </c>
      <c r="V15" s="40" t="s">
        <v>311</v>
      </c>
      <c r="W15" s="101" t="s">
        <v>374</v>
      </c>
      <c r="X15" s="90" t="s">
        <v>1</v>
      </c>
      <c r="Y15" s="91"/>
      <c r="Z15" s="92"/>
      <c r="AA15" s="80"/>
      <c r="AB15" s="80"/>
      <c r="AC15" s="80"/>
    </row>
    <row r="16" spans="1:29" ht="39.950000000000003" customHeight="1" x14ac:dyDescent="0.25">
      <c r="A16" s="74" t="s">
        <v>343</v>
      </c>
      <c r="B16" s="86" t="s">
        <v>344</v>
      </c>
      <c r="C16" s="62" t="s">
        <v>19</v>
      </c>
      <c r="D16" s="49"/>
      <c r="E16" s="62" t="s">
        <v>341</v>
      </c>
      <c r="F16" s="62"/>
      <c r="G16" s="46">
        <v>42985</v>
      </c>
      <c r="H16" s="47">
        <v>43111</v>
      </c>
      <c r="I16" s="49">
        <v>126</v>
      </c>
      <c r="J16" s="62" t="s">
        <v>176</v>
      </c>
      <c r="K16" s="64" t="s">
        <v>554</v>
      </c>
      <c r="L16" s="76" t="s">
        <v>323</v>
      </c>
      <c r="M16" s="81" t="s">
        <v>324</v>
      </c>
      <c r="N16" s="81"/>
      <c r="O16" s="81"/>
      <c r="P16" s="81"/>
      <c r="Q16" s="50"/>
      <c r="R16" s="78"/>
      <c r="S16" s="78" t="s">
        <v>490</v>
      </c>
      <c r="T16" s="78" t="s">
        <v>60</v>
      </c>
      <c r="U16" s="98" t="s">
        <v>63</v>
      </c>
      <c r="V16" s="40" t="s">
        <v>311</v>
      </c>
      <c r="W16" s="100" t="s">
        <v>345</v>
      </c>
      <c r="X16" s="90" t="s">
        <v>1</v>
      </c>
      <c r="Y16" s="91"/>
      <c r="Z16" s="92"/>
      <c r="AA16" s="80"/>
      <c r="AB16" s="80"/>
      <c r="AC16" s="80"/>
    </row>
    <row r="17" spans="1:29" ht="39.950000000000003" customHeight="1" x14ac:dyDescent="0.25">
      <c r="A17" s="74" t="s">
        <v>347</v>
      </c>
      <c r="B17" s="85" t="s">
        <v>349</v>
      </c>
      <c r="C17" s="62" t="s">
        <v>19</v>
      </c>
      <c r="D17" s="49"/>
      <c r="E17" s="62" t="s">
        <v>348</v>
      </c>
      <c r="F17" s="62"/>
      <c r="G17" s="46">
        <v>42985</v>
      </c>
      <c r="H17" s="47">
        <v>42993</v>
      </c>
      <c r="I17" s="49">
        <v>8</v>
      </c>
      <c r="J17" s="62" t="s">
        <v>176</v>
      </c>
      <c r="K17" s="64" t="s">
        <v>554</v>
      </c>
      <c r="L17" s="76" t="s">
        <v>346</v>
      </c>
      <c r="M17" s="81" t="s">
        <v>325</v>
      </c>
      <c r="N17" s="81"/>
      <c r="O17" s="81"/>
      <c r="P17" s="81"/>
      <c r="Q17" s="50"/>
      <c r="R17" s="78"/>
      <c r="S17" s="78" t="s">
        <v>490</v>
      </c>
      <c r="T17" s="78" t="s">
        <v>60</v>
      </c>
      <c r="U17" s="98" t="s">
        <v>64</v>
      </c>
      <c r="V17" s="40" t="s">
        <v>311</v>
      </c>
      <c r="W17" s="101" t="s">
        <v>379</v>
      </c>
      <c r="X17" s="90" t="s">
        <v>1</v>
      </c>
      <c r="Y17" s="91"/>
      <c r="Z17" s="92"/>
      <c r="AA17" s="80"/>
      <c r="AB17" s="80"/>
      <c r="AC17" s="80"/>
    </row>
    <row r="18" spans="1:29" ht="39.950000000000003" customHeight="1" x14ac:dyDescent="0.25">
      <c r="A18" s="74" t="s">
        <v>350</v>
      </c>
      <c r="B18" s="85" t="s">
        <v>351</v>
      </c>
      <c r="C18" s="62" t="s">
        <v>19</v>
      </c>
      <c r="D18" s="49"/>
      <c r="E18" s="62" t="s">
        <v>16</v>
      </c>
      <c r="F18" s="62"/>
      <c r="G18" s="46">
        <v>42989</v>
      </c>
      <c r="H18" s="47">
        <v>42992</v>
      </c>
      <c r="I18" s="49">
        <v>3</v>
      </c>
      <c r="J18" s="62" t="s">
        <v>175</v>
      </c>
      <c r="K18" s="64" t="s">
        <v>554</v>
      </c>
      <c r="L18" s="76" t="s">
        <v>198</v>
      </c>
      <c r="M18" s="81" t="s">
        <v>214</v>
      </c>
      <c r="N18" s="81"/>
      <c r="O18" s="81"/>
      <c r="P18" s="81"/>
      <c r="Q18" s="50"/>
      <c r="R18" s="78"/>
      <c r="S18" s="78"/>
      <c r="T18" s="78" t="s">
        <v>59</v>
      </c>
      <c r="U18" s="98" t="s">
        <v>80</v>
      </c>
      <c r="V18" s="40" t="s">
        <v>70</v>
      </c>
      <c r="W18" s="101" t="s">
        <v>375</v>
      </c>
      <c r="X18" s="90" t="s">
        <v>1</v>
      </c>
      <c r="Y18" s="91"/>
      <c r="Z18" s="92"/>
      <c r="AA18" s="80"/>
      <c r="AB18" s="80"/>
      <c r="AC18" s="80"/>
    </row>
    <row r="19" spans="1:29" ht="39.950000000000003" customHeight="1" x14ac:dyDescent="0.25">
      <c r="A19" s="74" t="s">
        <v>352</v>
      </c>
      <c r="B19" s="85" t="s">
        <v>353</v>
      </c>
      <c r="C19" s="62" t="s">
        <v>19</v>
      </c>
      <c r="D19" s="49"/>
      <c r="E19" s="62" t="s">
        <v>16</v>
      </c>
      <c r="F19" s="62"/>
      <c r="G19" s="46">
        <v>42989</v>
      </c>
      <c r="H19" s="47">
        <v>42993</v>
      </c>
      <c r="I19" s="49">
        <v>4</v>
      </c>
      <c r="J19" s="62" t="s">
        <v>175</v>
      </c>
      <c r="K19" s="64" t="s">
        <v>554</v>
      </c>
      <c r="L19" s="76" t="s">
        <v>223</v>
      </c>
      <c r="M19" s="81" t="s">
        <v>213</v>
      </c>
      <c r="N19" s="81"/>
      <c r="O19" s="81"/>
      <c r="P19" s="81"/>
      <c r="Q19" s="50"/>
      <c r="R19" s="78"/>
      <c r="S19" s="78"/>
      <c r="T19" s="78" t="s">
        <v>60</v>
      </c>
      <c r="U19" s="98" t="s">
        <v>71</v>
      </c>
      <c r="V19" s="40" t="s">
        <v>67</v>
      </c>
      <c r="W19" s="101" t="s">
        <v>378</v>
      </c>
      <c r="X19" s="90" t="s">
        <v>1</v>
      </c>
      <c r="Y19" s="91"/>
      <c r="Z19" s="92"/>
      <c r="AA19" s="80"/>
      <c r="AB19" s="80"/>
      <c r="AC19" s="80"/>
    </row>
    <row r="20" spans="1:29" ht="39.950000000000003" customHeight="1" x14ac:dyDescent="0.25">
      <c r="A20" s="74" t="s">
        <v>354</v>
      </c>
      <c r="B20" s="85" t="s">
        <v>355</v>
      </c>
      <c r="C20" s="62" t="s">
        <v>19</v>
      </c>
      <c r="D20" s="49"/>
      <c r="E20" s="62" t="s">
        <v>16</v>
      </c>
      <c r="F20" s="62"/>
      <c r="G20" s="46">
        <v>42986</v>
      </c>
      <c r="H20" s="47">
        <v>42990</v>
      </c>
      <c r="I20" s="49">
        <v>4</v>
      </c>
      <c r="J20" s="62" t="s">
        <v>175</v>
      </c>
      <c r="K20" s="64" t="s">
        <v>554</v>
      </c>
      <c r="L20" s="76" t="s">
        <v>1378</v>
      </c>
      <c r="M20" s="81" t="s">
        <v>75</v>
      </c>
      <c r="N20" s="81"/>
      <c r="O20" s="81"/>
      <c r="P20" s="81"/>
      <c r="Q20" s="50"/>
      <c r="R20" s="78"/>
      <c r="S20" s="78"/>
      <c r="T20" s="78" t="s">
        <v>58</v>
      </c>
      <c r="U20" s="93" t="s">
        <v>65</v>
      </c>
      <c r="V20" s="40" t="s">
        <v>67</v>
      </c>
      <c r="W20" s="100" t="s">
        <v>356</v>
      </c>
      <c r="X20" s="90" t="s">
        <v>1</v>
      </c>
      <c r="Y20" s="91"/>
      <c r="Z20" s="92" t="s">
        <v>280</v>
      </c>
      <c r="AA20" s="80"/>
      <c r="AB20" s="80"/>
      <c r="AC20" s="80"/>
    </row>
    <row r="21" spans="1:29" ht="39.950000000000003" customHeight="1" x14ac:dyDescent="0.25">
      <c r="A21" s="74" t="s">
        <v>357</v>
      </c>
      <c r="B21" s="85" t="s">
        <v>358</v>
      </c>
      <c r="C21" s="62" t="s">
        <v>19</v>
      </c>
      <c r="D21" s="49" t="s">
        <v>468</v>
      </c>
      <c r="E21" s="62" t="s">
        <v>16</v>
      </c>
      <c r="F21" s="62" t="s">
        <v>17</v>
      </c>
      <c r="G21" s="46">
        <v>42989</v>
      </c>
      <c r="H21" s="47">
        <v>43126</v>
      </c>
      <c r="I21" s="49">
        <v>137</v>
      </c>
      <c r="J21" s="62" t="s">
        <v>162</v>
      </c>
      <c r="K21" s="64" t="s">
        <v>554</v>
      </c>
      <c r="L21" s="76" t="s">
        <v>1378</v>
      </c>
      <c r="M21" s="81" t="s">
        <v>75</v>
      </c>
      <c r="N21" s="81" t="s">
        <v>915</v>
      </c>
      <c r="O21" s="81" t="s">
        <v>1379</v>
      </c>
      <c r="P21" s="81"/>
      <c r="Q21" s="50">
        <v>0</v>
      </c>
      <c r="R21" s="78">
        <v>0</v>
      </c>
      <c r="S21" s="78" t="s">
        <v>582</v>
      </c>
      <c r="T21" s="78" t="s">
        <v>997</v>
      </c>
      <c r="U21" s="93" t="s">
        <v>953</v>
      </c>
      <c r="V21" s="40" t="s">
        <v>989</v>
      </c>
      <c r="W21" s="101" t="s">
        <v>484</v>
      </c>
      <c r="X21" s="90" t="s">
        <v>1728</v>
      </c>
      <c r="Y21" s="91" t="s">
        <v>79</v>
      </c>
      <c r="Z21" s="92" t="s">
        <v>280</v>
      </c>
      <c r="AA21" s="80"/>
      <c r="AB21" s="80"/>
      <c r="AC21" s="80"/>
    </row>
    <row r="22" spans="1:29" ht="39.950000000000003" customHeight="1" x14ac:dyDescent="0.25">
      <c r="A22" s="74" t="s">
        <v>360</v>
      </c>
      <c r="B22" s="85" t="s">
        <v>361</v>
      </c>
      <c r="C22" s="62" t="s">
        <v>19</v>
      </c>
      <c r="D22" s="49"/>
      <c r="E22" s="62" t="s">
        <v>16</v>
      </c>
      <c r="F22" s="62"/>
      <c r="G22" s="46">
        <v>42989</v>
      </c>
      <c r="H22" s="47">
        <v>42990</v>
      </c>
      <c r="I22" s="49">
        <v>1</v>
      </c>
      <c r="J22" s="62" t="s">
        <v>175</v>
      </c>
      <c r="K22" s="64" t="s">
        <v>554</v>
      </c>
      <c r="L22" s="76" t="s">
        <v>245</v>
      </c>
      <c r="M22" s="81" t="s">
        <v>212</v>
      </c>
      <c r="N22" s="81"/>
      <c r="O22" s="81"/>
      <c r="P22" s="81"/>
      <c r="Q22" s="50"/>
      <c r="R22" s="78"/>
      <c r="S22" s="78"/>
      <c r="T22" s="78" t="s">
        <v>58</v>
      </c>
      <c r="U22" s="93" t="s">
        <v>65</v>
      </c>
      <c r="V22" s="40" t="s">
        <v>67</v>
      </c>
      <c r="W22" s="100" t="s">
        <v>362</v>
      </c>
      <c r="X22" s="90" t="s">
        <v>1</v>
      </c>
      <c r="Y22" s="91"/>
      <c r="Z22" s="92"/>
      <c r="AA22" s="80"/>
      <c r="AB22" s="80"/>
      <c r="AC22" s="80"/>
    </row>
    <row r="23" spans="1:29" ht="39.950000000000003" customHeight="1" x14ac:dyDescent="0.25">
      <c r="A23" s="74" t="s">
        <v>363</v>
      </c>
      <c r="B23" s="85" t="s">
        <v>364</v>
      </c>
      <c r="C23" s="62" t="s">
        <v>19</v>
      </c>
      <c r="D23" s="49"/>
      <c r="E23" s="62" t="s">
        <v>16</v>
      </c>
      <c r="F23" s="62"/>
      <c r="G23" s="46">
        <v>42989</v>
      </c>
      <c r="H23" s="47">
        <v>43126</v>
      </c>
      <c r="I23" s="49">
        <v>137</v>
      </c>
      <c r="J23" s="62" t="s">
        <v>162</v>
      </c>
      <c r="K23" s="64" t="s">
        <v>554</v>
      </c>
      <c r="L23" s="76" t="s">
        <v>245</v>
      </c>
      <c r="M23" s="81" t="s">
        <v>212</v>
      </c>
      <c r="N23" s="81"/>
      <c r="O23" s="81"/>
      <c r="P23" s="81"/>
      <c r="Q23" s="50"/>
      <c r="R23" s="78"/>
      <c r="S23" s="78"/>
      <c r="T23" s="78" t="s">
        <v>60</v>
      </c>
      <c r="U23" s="93"/>
      <c r="V23" s="40" t="s">
        <v>359</v>
      </c>
      <c r="W23" s="101" t="s">
        <v>485</v>
      </c>
      <c r="X23" s="90"/>
      <c r="Y23" s="91"/>
      <c r="Z23" s="92"/>
      <c r="AA23" s="80"/>
      <c r="AB23" s="80"/>
      <c r="AC23" s="80"/>
    </row>
    <row r="24" spans="1:29" ht="39.950000000000003" customHeight="1" x14ac:dyDescent="0.25">
      <c r="A24" s="74" t="s">
        <v>365</v>
      </c>
      <c r="B24" s="86" t="s">
        <v>366</v>
      </c>
      <c r="C24" s="62" t="s">
        <v>19</v>
      </c>
      <c r="D24" s="49" t="s">
        <v>468</v>
      </c>
      <c r="E24" s="62" t="s">
        <v>16</v>
      </c>
      <c r="F24" s="62" t="s">
        <v>17</v>
      </c>
      <c r="G24" s="46">
        <v>42990</v>
      </c>
      <c r="H24" s="47">
        <v>43189</v>
      </c>
      <c r="I24" s="49">
        <v>199</v>
      </c>
      <c r="J24" s="62" t="s">
        <v>862</v>
      </c>
      <c r="K24" s="64" t="s">
        <v>79</v>
      </c>
      <c r="L24" s="76" t="s">
        <v>292</v>
      </c>
      <c r="M24" s="81" t="s">
        <v>76</v>
      </c>
      <c r="N24" s="81"/>
      <c r="O24" s="81"/>
      <c r="P24" s="81"/>
      <c r="Q24" s="50">
        <v>43</v>
      </c>
      <c r="R24" s="78">
        <v>0</v>
      </c>
      <c r="S24" s="78" t="s">
        <v>509</v>
      </c>
      <c r="T24" s="78" t="s">
        <v>60</v>
      </c>
      <c r="U24" s="93" t="s">
        <v>1009</v>
      </c>
      <c r="V24" s="40" t="s">
        <v>990</v>
      </c>
      <c r="W24" s="101" t="s">
        <v>724</v>
      </c>
      <c r="X24" s="90" t="s">
        <v>0</v>
      </c>
      <c r="Y24" s="91" t="s">
        <v>79</v>
      </c>
      <c r="Z24" s="92"/>
      <c r="AA24" s="80"/>
      <c r="AB24" s="80"/>
      <c r="AC24" s="80"/>
    </row>
    <row r="25" spans="1:29" ht="39.950000000000003" customHeight="1" x14ac:dyDescent="0.25">
      <c r="A25" s="74" t="s">
        <v>376</v>
      </c>
      <c r="B25" s="85" t="s">
        <v>377</v>
      </c>
      <c r="C25" s="62" t="s">
        <v>19</v>
      </c>
      <c r="D25" s="49" t="s">
        <v>468</v>
      </c>
      <c r="E25" s="62" t="s">
        <v>17</v>
      </c>
      <c r="F25" s="62"/>
      <c r="G25" s="46">
        <v>42993</v>
      </c>
      <c r="H25" s="47">
        <v>43216</v>
      </c>
      <c r="I25" s="49">
        <v>223</v>
      </c>
      <c r="J25" s="62" t="s">
        <v>862</v>
      </c>
      <c r="K25" s="64" t="s">
        <v>554</v>
      </c>
      <c r="L25" s="76" t="s">
        <v>118</v>
      </c>
      <c r="M25" s="81" t="s">
        <v>76</v>
      </c>
      <c r="N25" s="81"/>
      <c r="O25" s="81"/>
      <c r="P25" s="81"/>
      <c r="Q25" s="50">
        <v>3013.4</v>
      </c>
      <c r="R25" s="78"/>
      <c r="S25" s="78" t="s">
        <v>582</v>
      </c>
      <c r="T25" s="78" t="s">
        <v>59</v>
      </c>
      <c r="U25" s="93"/>
      <c r="V25" s="40" t="s">
        <v>450</v>
      </c>
      <c r="W25" s="101" t="s">
        <v>792</v>
      </c>
      <c r="X25" s="90" t="s">
        <v>0</v>
      </c>
      <c r="Y25" s="91"/>
      <c r="Z25" s="92"/>
      <c r="AA25" s="80"/>
      <c r="AB25" s="80"/>
      <c r="AC25" s="80"/>
    </row>
    <row r="26" spans="1:29" ht="39.950000000000003" customHeight="1" x14ac:dyDescent="0.25">
      <c r="A26" s="74" t="s">
        <v>381</v>
      </c>
      <c r="B26" s="85" t="s">
        <v>382</v>
      </c>
      <c r="C26" s="62" t="s">
        <v>19</v>
      </c>
      <c r="D26" s="49" t="s">
        <v>468</v>
      </c>
      <c r="E26" s="62" t="s">
        <v>16</v>
      </c>
      <c r="F26" s="62" t="s">
        <v>774</v>
      </c>
      <c r="G26" s="46">
        <v>42997</v>
      </c>
      <c r="H26" s="47">
        <v>43388</v>
      </c>
      <c r="I26" s="49">
        <v>391</v>
      </c>
      <c r="J26" s="62" t="s">
        <v>174</v>
      </c>
      <c r="K26" s="64" t="s">
        <v>554</v>
      </c>
      <c r="L26" s="76" t="s">
        <v>1381</v>
      </c>
      <c r="M26" s="81" t="s">
        <v>75</v>
      </c>
      <c r="N26" s="81" t="s">
        <v>915</v>
      </c>
      <c r="O26" s="81" t="s">
        <v>1382</v>
      </c>
      <c r="P26" s="81"/>
      <c r="Q26" s="50">
        <v>0</v>
      </c>
      <c r="R26" s="78">
        <v>0</v>
      </c>
      <c r="S26" s="78" t="s">
        <v>464</v>
      </c>
      <c r="T26" s="78" t="s">
        <v>1022</v>
      </c>
      <c r="U26" s="93" t="s">
        <v>1012</v>
      </c>
      <c r="V26" s="40" t="s">
        <v>285</v>
      </c>
      <c r="W26" s="101" t="s">
        <v>1729</v>
      </c>
      <c r="X26" s="90" t="s">
        <v>602</v>
      </c>
      <c r="Y26" s="91" t="s">
        <v>79</v>
      </c>
      <c r="Z26" s="92" t="s">
        <v>281</v>
      </c>
      <c r="AA26" s="80"/>
      <c r="AB26" s="80"/>
      <c r="AC26" s="80"/>
    </row>
    <row r="27" spans="1:29" ht="39.950000000000003" customHeight="1" x14ac:dyDescent="0.25">
      <c r="A27" s="74" t="s">
        <v>384</v>
      </c>
      <c r="B27" s="86" t="s">
        <v>385</v>
      </c>
      <c r="C27" s="62" t="s">
        <v>19</v>
      </c>
      <c r="D27" s="49"/>
      <c r="E27" s="62" t="s">
        <v>16</v>
      </c>
      <c r="F27" s="62"/>
      <c r="G27" s="46">
        <v>42998</v>
      </c>
      <c r="H27" s="47">
        <v>43040</v>
      </c>
      <c r="I27" s="49">
        <v>42</v>
      </c>
      <c r="J27" s="62" t="s">
        <v>170</v>
      </c>
      <c r="K27" s="64" t="s">
        <v>554</v>
      </c>
      <c r="L27" s="76" t="s">
        <v>327</v>
      </c>
      <c r="M27" s="81" t="s">
        <v>325</v>
      </c>
      <c r="N27" s="81"/>
      <c r="O27" s="81"/>
      <c r="P27" s="81"/>
      <c r="Q27" s="50"/>
      <c r="R27" s="78"/>
      <c r="S27" s="78"/>
      <c r="T27" s="78" t="s">
        <v>59</v>
      </c>
      <c r="U27" s="93" t="s">
        <v>63</v>
      </c>
      <c r="V27" s="40" t="s">
        <v>311</v>
      </c>
      <c r="W27" s="100" t="s">
        <v>397</v>
      </c>
      <c r="X27" s="90" t="s">
        <v>2</v>
      </c>
      <c r="Y27" s="91"/>
      <c r="Z27" s="92"/>
      <c r="AA27" s="80"/>
      <c r="AB27" s="80"/>
      <c r="AC27" s="80"/>
    </row>
    <row r="28" spans="1:29" ht="39.950000000000003" customHeight="1" x14ac:dyDescent="0.25">
      <c r="A28" s="74" t="s">
        <v>388</v>
      </c>
      <c r="B28" s="86" t="s">
        <v>389</v>
      </c>
      <c r="C28" s="62" t="s">
        <v>19</v>
      </c>
      <c r="D28" s="49"/>
      <c r="E28" s="62" t="s">
        <v>341</v>
      </c>
      <c r="F28" s="62"/>
      <c r="G28" s="46">
        <v>43033</v>
      </c>
      <c r="H28" s="47">
        <v>43146</v>
      </c>
      <c r="I28" s="49">
        <v>113</v>
      </c>
      <c r="J28" s="62" t="s">
        <v>176</v>
      </c>
      <c r="K28" s="64" t="s">
        <v>554</v>
      </c>
      <c r="L28" s="76" t="s">
        <v>387</v>
      </c>
      <c r="M28" s="81" t="s">
        <v>314</v>
      </c>
      <c r="N28" s="81"/>
      <c r="O28" s="81"/>
      <c r="P28" s="81"/>
      <c r="Q28" s="50"/>
      <c r="R28" s="78"/>
      <c r="S28" s="78" t="s">
        <v>582</v>
      </c>
      <c r="T28" s="78" t="s">
        <v>78</v>
      </c>
      <c r="U28" s="93" t="s">
        <v>81</v>
      </c>
      <c r="V28" s="40" t="s">
        <v>67</v>
      </c>
      <c r="W28" s="101" t="s">
        <v>587</v>
      </c>
      <c r="X28" s="90" t="s">
        <v>1</v>
      </c>
      <c r="Y28" s="91"/>
      <c r="Z28" s="92" t="s">
        <v>396</v>
      </c>
      <c r="AA28" s="80"/>
      <c r="AB28" s="80"/>
      <c r="AC28" s="80"/>
    </row>
    <row r="29" spans="1:29" ht="39.950000000000003" customHeight="1" x14ac:dyDescent="0.25">
      <c r="A29" s="74" t="s">
        <v>390</v>
      </c>
      <c r="B29" s="86" t="s">
        <v>391</v>
      </c>
      <c r="C29" s="62" t="s">
        <v>19</v>
      </c>
      <c r="D29" s="49"/>
      <c r="E29" s="62" t="s">
        <v>14</v>
      </c>
      <c r="F29" s="62"/>
      <c r="G29" s="46">
        <v>43038</v>
      </c>
      <c r="H29" s="47">
        <v>43146</v>
      </c>
      <c r="I29" s="49">
        <v>108</v>
      </c>
      <c r="J29" s="62" t="s">
        <v>175</v>
      </c>
      <c r="K29" s="64" t="s">
        <v>554</v>
      </c>
      <c r="L29" s="76" t="s">
        <v>190</v>
      </c>
      <c r="M29" s="81" t="s">
        <v>213</v>
      </c>
      <c r="N29" s="81"/>
      <c r="O29" s="81"/>
      <c r="P29" s="81"/>
      <c r="Q29" s="50"/>
      <c r="R29" s="78"/>
      <c r="S29" s="78" t="s">
        <v>582</v>
      </c>
      <c r="T29" s="78" t="s">
        <v>285</v>
      </c>
      <c r="U29" s="93" t="s">
        <v>71</v>
      </c>
      <c r="V29" s="40" t="s">
        <v>285</v>
      </c>
      <c r="W29" s="101" t="s">
        <v>392</v>
      </c>
      <c r="X29" s="90" t="s">
        <v>1</v>
      </c>
      <c r="Y29" s="91"/>
      <c r="Z29" s="92" t="s">
        <v>373</v>
      </c>
      <c r="AA29" s="80"/>
      <c r="AB29" s="80"/>
      <c r="AC29" s="80"/>
    </row>
    <row r="30" spans="1:29" ht="39.950000000000003" customHeight="1" x14ac:dyDescent="0.25">
      <c r="A30" s="74" t="s">
        <v>394</v>
      </c>
      <c r="B30" s="85" t="s">
        <v>395</v>
      </c>
      <c r="C30" s="49" t="s">
        <v>19</v>
      </c>
      <c r="D30" s="49" t="s">
        <v>468</v>
      </c>
      <c r="E30" s="62" t="s">
        <v>341</v>
      </c>
      <c r="F30" s="62" t="s">
        <v>17</v>
      </c>
      <c r="G30" s="46">
        <v>43033</v>
      </c>
      <c r="H30" s="47">
        <v>43159</v>
      </c>
      <c r="I30" s="49">
        <v>126</v>
      </c>
      <c r="J30" s="62" t="s">
        <v>393</v>
      </c>
      <c r="K30" s="64" t="s">
        <v>554</v>
      </c>
      <c r="L30" s="76" t="s">
        <v>387</v>
      </c>
      <c r="M30" s="81" t="s">
        <v>314</v>
      </c>
      <c r="N30" s="81"/>
      <c r="O30" s="81" t="s">
        <v>285</v>
      </c>
      <c r="P30" s="81" t="s">
        <v>79</v>
      </c>
      <c r="Q30" s="50">
        <v>0</v>
      </c>
      <c r="R30" s="78">
        <v>0</v>
      </c>
      <c r="S30" s="78" t="s">
        <v>341</v>
      </c>
      <c r="T30" s="78" t="s">
        <v>1148</v>
      </c>
      <c r="U30" s="93" t="s">
        <v>1016</v>
      </c>
      <c r="V30" s="40" t="s">
        <v>1016</v>
      </c>
      <c r="W30" s="101" t="s">
        <v>1187</v>
      </c>
      <c r="X30" s="90" t="s">
        <v>952</v>
      </c>
      <c r="Y30" s="91" t="s">
        <v>79</v>
      </c>
      <c r="Z30" s="92" t="s">
        <v>396</v>
      </c>
      <c r="AA30" s="80"/>
      <c r="AB30" s="80"/>
      <c r="AC30" s="80"/>
    </row>
    <row r="31" spans="1:29" ht="39.950000000000003" customHeight="1" x14ac:dyDescent="0.25">
      <c r="A31" s="74" t="s">
        <v>398</v>
      </c>
      <c r="B31" s="85" t="s">
        <v>399</v>
      </c>
      <c r="C31" s="49" t="s">
        <v>19</v>
      </c>
      <c r="D31" s="49" t="s">
        <v>468</v>
      </c>
      <c r="E31" s="62" t="s">
        <v>136</v>
      </c>
      <c r="F31" s="62"/>
      <c r="G31" s="46">
        <v>43045</v>
      </c>
      <c r="H31" s="47">
        <v>43216</v>
      </c>
      <c r="I31" s="49">
        <v>171</v>
      </c>
      <c r="J31" s="62" t="s">
        <v>171</v>
      </c>
      <c r="K31" s="64" t="s">
        <v>554</v>
      </c>
      <c r="L31" s="76" t="s">
        <v>247</v>
      </c>
      <c r="M31" s="81" t="s">
        <v>212</v>
      </c>
      <c r="N31" s="81"/>
      <c r="O31" s="81"/>
      <c r="P31" s="81"/>
      <c r="Q31" s="50"/>
      <c r="R31" s="78"/>
      <c r="S31" s="78" t="s">
        <v>582</v>
      </c>
      <c r="T31" s="78" t="s">
        <v>285</v>
      </c>
      <c r="U31" s="93" t="s">
        <v>285</v>
      </c>
      <c r="V31" s="40" t="s">
        <v>285</v>
      </c>
      <c r="W31" s="101" t="s">
        <v>793</v>
      </c>
      <c r="X31" s="90" t="s">
        <v>1</v>
      </c>
      <c r="Y31" s="91"/>
      <c r="Z31" s="92"/>
      <c r="AA31" s="80"/>
      <c r="AB31" s="80"/>
      <c r="AC31" s="80"/>
    </row>
    <row r="32" spans="1:29" ht="39.950000000000003" customHeight="1" x14ac:dyDescent="0.25">
      <c r="A32" s="74" t="s">
        <v>400</v>
      </c>
      <c r="B32" s="85" t="s">
        <v>401</v>
      </c>
      <c r="C32" s="49" t="s">
        <v>19</v>
      </c>
      <c r="D32" s="49"/>
      <c r="E32" s="62" t="s">
        <v>17</v>
      </c>
      <c r="F32" s="62"/>
      <c r="G32" s="46">
        <v>43045</v>
      </c>
      <c r="H32" s="47">
        <v>43146</v>
      </c>
      <c r="I32" s="49">
        <v>101</v>
      </c>
      <c r="J32" s="62" t="s">
        <v>162</v>
      </c>
      <c r="K32" s="64" t="s">
        <v>554</v>
      </c>
      <c r="L32" s="76" t="s">
        <v>241</v>
      </c>
      <c r="M32" s="81" t="s">
        <v>212</v>
      </c>
      <c r="N32" s="81"/>
      <c r="O32" s="81"/>
      <c r="P32" s="81"/>
      <c r="Q32" s="50"/>
      <c r="R32" s="78"/>
      <c r="S32" s="78" t="s">
        <v>582</v>
      </c>
      <c r="T32" s="78"/>
      <c r="U32" s="93"/>
      <c r="V32" s="40" t="s">
        <v>359</v>
      </c>
      <c r="W32" s="101" t="s">
        <v>583</v>
      </c>
      <c r="X32" s="90"/>
      <c r="Y32" s="91"/>
      <c r="Z32" s="92"/>
      <c r="AA32" s="80"/>
      <c r="AB32" s="80"/>
      <c r="AC32" s="80"/>
    </row>
    <row r="33" spans="1:29" ht="39.950000000000003" customHeight="1" x14ac:dyDescent="0.25">
      <c r="A33" s="74" t="s">
        <v>407</v>
      </c>
      <c r="B33" s="86" t="s">
        <v>408</v>
      </c>
      <c r="C33" s="49" t="s">
        <v>19</v>
      </c>
      <c r="D33" s="49"/>
      <c r="E33" s="62" t="s">
        <v>136</v>
      </c>
      <c r="F33" s="62"/>
      <c r="G33" s="46">
        <v>43055</v>
      </c>
      <c r="H33" s="47">
        <v>43074</v>
      </c>
      <c r="I33" s="49">
        <v>19</v>
      </c>
      <c r="J33" s="62" t="s">
        <v>862</v>
      </c>
      <c r="K33" s="64" t="s">
        <v>554</v>
      </c>
      <c r="L33" s="76" t="s">
        <v>403</v>
      </c>
      <c r="M33" s="81" t="s">
        <v>76</v>
      </c>
      <c r="N33" s="81"/>
      <c r="O33" s="81"/>
      <c r="P33" s="81"/>
      <c r="Q33" s="50"/>
      <c r="R33" s="78"/>
      <c r="S33" s="78"/>
      <c r="T33" s="78" t="s">
        <v>61</v>
      </c>
      <c r="U33" s="93"/>
      <c r="V33" s="40"/>
      <c r="W33" s="100" t="s">
        <v>426</v>
      </c>
      <c r="X33" s="90"/>
      <c r="Y33" s="91"/>
      <c r="Z33" s="92"/>
      <c r="AA33" s="80"/>
      <c r="AB33" s="80"/>
      <c r="AC33" s="80"/>
    </row>
    <row r="34" spans="1:29" ht="39.950000000000003" customHeight="1" x14ac:dyDescent="0.25">
      <c r="A34" s="74" t="s">
        <v>409</v>
      </c>
      <c r="B34" s="86" t="s">
        <v>408</v>
      </c>
      <c r="C34" s="49" t="s">
        <v>19</v>
      </c>
      <c r="D34" s="49"/>
      <c r="E34" s="62" t="s">
        <v>17</v>
      </c>
      <c r="F34" s="62"/>
      <c r="G34" s="46">
        <v>43055</v>
      </c>
      <c r="H34" s="47">
        <v>43180</v>
      </c>
      <c r="I34" s="49">
        <v>125</v>
      </c>
      <c r="J34" s="62" t="s">
        <v>862</v>
      </c>
      <c r="K34" s="64" t="s">
        <v>554</v>
      </c>
      <c r="L34" s="76" t="s">
        <v>404</v>
      </c>
      <c r="M34" s="81" t="s">
        <v>76</v>
      </c>
      <c r="N34" s="81"/>
      <c r="O34" s="81"/>
      <c r="P34" s="81"/>
      <c r="Q34" s="50"/>
      <c r="R34" s="78"/>
      <c r="S34" s="78" t="s">
        <v>464</v>
      </c>
      <c r="T34" s="78" t="s">
        <v>61</v>
      </c>
      <c r="U34" s="93"/>
      <c r="V34" s="40" t="s">
        <v>450</v>
      </c>
      <c r="W34" s="100" t="s">
        <v>692</v>
      </c>
      <c r="X34" s="90"/>
      <c r="Y34" s="91"/>
      <c r="Z34" s="92"/>
      <c r="AA34" s="80"/>
      <c r="AB34" s="80"/>
      <c r="AC34" s="80"/>
    </row>
    <row r="35" spans="1:29" ht="39.950000000000003" customHeight="1" x14ac:dyDescent="0.25">
      <c r="A35" s="74" t="s">
        <v>410</v>
      </c>
      <c r="B35" s="86" t="s">
        <v>411</v>
      </c>
      <c r="C35" s="49" t="s">
        <v>19</v>
      </c>
      <c r="D35" s="49"/>
      <c r="E35" s="62" t="s">
        <v>17</v>
      </c>
      <c r="F35" s="62"/>
      <c r="G35" s="46">
        <v>43055</v>
      </c>
      <c r="H35" s="47">
        <v>43180</v>
      </c>
      <c r="I35" s="49">
        <v>125</v>
      </c>
      <c r="J35" s="62" t="s">
        <v>862</v>
      </c>
      <c r="K35" s="64" t="s">
        <v>554</v>
      </c>
      <c r="L35" s="76" t="s">
        <v>405</v>
      </c>
      <c r="M35" s="81" t="s">
        <v>76</v>
      </c>
      <c r="N35" s="81"/>
      <c r="O35" s="81"/>
      <c r="P35" s="81"/>
      <c r="Q35" s="50"/>
      <c r="R35" s="78"/>
      <c r="S35" s="78" t="s">
        <v>464</v>
      </c>
      <c r="T35" s="78" t="s">
        <v>61</v>
      </c>
      <c r="U35" s="93"/>
      <c r="V35" s="40" t="s">
        <v>450</v>
      </c>
      <c r="W35" s="100" t="s">
        <v>692</v>
      </c>
      <c r="X35" s="90"/>
      <c r="Y35" s="91"/>
      <c r="Z35" s="92"/>
      <c r="AA35" s="80"/>
      <c r="AB35" s="80"/>
      <c r="AC35" s="80"/>
    </row>
    <row r="36" spans="1:29" ht="39.950000000000003" customHeight="1" x14ac:dyDescent="0.25">
      <c r="A36" s="74" t="s">
        <v>412</v>
      </c>
      <c r="B36" s="86" t="s">
        <v>411</v>
      </c>
      <c r="C36" s="49" t="s">
        <v>19</v>
      </c>
      <c r="D36" s="49"/>
      <c r="E36" s="62" t="s">
        <v>17</v>
      </c>
      <c r="F36" s="62"/>
      <c r="G36" s="46">
        <v>43055</v>
      </c>
      <c r="H36" s="47">
        <v>43180</v>
      </c>
      <c r="I36" s="49">
        <v>125</v>
      </c>
      <c r="J36" s="62" t="s">
        <v>862</v>
      </c>
      <c r="K36" s="64" t="s">
        <v>554</v>
      </c>
      <c r="L36" s="76" t="s">
        <v>406</v>
      </c>
      <c r="M36" s="81" t="s">
        <v>76</v>
      </c>
      <c r="N36" s="81"/>
      <c r="O36" s="81"/>
      <c r="P36" s="81"/>
      <c r="Q36" s="50"/>
      <c r="R36" s="78"/>
      <c r="S36" s="78" t="s">
        <v>464</v>
      </c>
      <c r="T36" s="78" t="s">
        <v>61</v>
      </c>
      <c r="U36" s="93"/>
      <c r="V36" s="40" t="s">
        <v>450</v>
      </c>
      <c r="W36" s="100" t="s">
        <v>692</v>
      </c>
      <c r="X36" s="90"/>
      <c r="Y36" s="91"/>
      <c r="Z36" s="92"/>
      <c r="AA36" s="80"/>
      <c r="AB36" s="80"/>
      <c r="AC36" s="80"/>
    </row>
    <row r="37" spans="1:29" ht="39.950000000000003" customHeight="1" x14ac:dyDescent="0.25">
      <c r="A37" s="74" t="s">
        <v>418</v>
      </c>
      <c r="B37" s="86" t="s">
        <v>420</v>
      </c>
      <c r="C37" s="49" t="s">
        <v>19</v>
      </c>
      <c r="D37" s="49"/>
      <c r="E37" s="62" t="s">
        <v>419</v>
      </c>
      <c r="F37" s="62"/>
      <c r="G37" s="46">
        <v>43069</v>
      </c>
      <c r="H37" s="47">
        <v>43146</v>
      </c>
      <c r="I37" s="49">
        <v>77</v>
      </c>
      <c r="J37" s="62" t="s">
        <v>174</v>
      </c>
      <c r="K37" s="64" t="s">
        <v>554</v>
      </c>
      <c r="L37" s="76" t="s">
        <v>415</v>
      </c>
      <c r="M37" s="81" t="s">
        <v>417</v>
      </c>
      <c r="N37" s="81"/>
      <c r="O37" s="81"/>
      <c r="P37" s="81"/>
      <c r="Q37" s="50"/>
      <c r="R37" s="78"/>
      <c r="S37" s="78" t="s">
        <v>464</v>
      </c>
      <c r="T37" s="78" t="s">
        <v>413</v>
      </c>
      <c r="U37" s="93"/>
      <c r="V37" s="40" t="s">
        <v>416</v>
      </c>
      <c r="W37" s="100" t="s">
        <v>584</v>
      </c>
      <c r="X37" s="90" t="s">
        <v>1</v>
      </c>
      <c r="Y37" s="91"/>
      <c r="Z37" s="92"/>
      <c r="AA37" s="80"/>
      <c r="AB37" s="80"/>
      <c r="AC37" s="80"/>
    </row>
    <row r="38" spans="1:29" ht="39.950000000000003" customHeight="1" x14ac:dyDescent="0.25">
      <c r="A38" s="74" t="s">
        <v>422</v>
      </c>
      <c r="B38" s="85" t="s">
        <v>423</v>
      </c>
      <c r="C38" s="49" t="s">
        <v>19</v>
      </c>
      <c r="D38" s="49"/>
      <c r="E38" s="62" t="s">
        <v>136</v>
      </c>
      <c r="F38" s="62"/>
      <c r="G38" s="46">
        <v>43074</v>
      </c>
      <c r="H38" s="47">
        <v>43146</v>
      </c>
      <c r="I38" s="49">
        <v>72</v>
      </c>
      <c r="J38" s="62" t="s">
        <v>172</v>
      </c>
      <c r="K38" s="64" t="s">
        <v>554</v>
      </c>
      <c r="L38" s="76"/>
      <c r="M38" s="81" t="s">
        <v>324</v>
      </c>
      <c r="N38" s="81"/>
      <c r="O38" s="81"/>
      <c r="P38" s="81"/>
      <c r="Q38" s="50"/>
      <c r="R38" s="78"/>
      <c r="S38" s="78" t="s">
        <v>341</v>
      </c>
      <c r="T38" s="78" t="s">
        <v>285</v>
      </c>
      <c r="U38" s="93" t="s">
        <v>285</v>
      </c>
      <c r="V38" s="40" t="s">
        <v>285</v>
      </c>
      <c r="W38" s="101" t="s">
        <v>585</v>
      </c>
      <c r="X38" s="90" t="s">
        <v>2</v>
      </c>
      <c r="Y38" s="91"/>
      <c r="Z38" s="92"/>
      <c r="AA38" s="80"/>
      <c r="AB38" s="80"/>
      <c r="AC38" s="80"/>
    </row>
    <row r="39" spans="1:29" ht="39.950000000000003" customHeight="1" x14ac:dyDescent="0.25">
      <c r="A39" s="74" t="s">
        <v>424</v>
      </c>
      <c r="B39" s="85" t="s">
        <v>425</v>
      </c>
      <c r="C39" s="49" t="s">
        <v>19</v>
      </c>
      <c r="D39" s="49"/>
      <c r="E39" s="62" t="s">
        <v>16</v>
      </c>
      <c r="F39" s="62"/>
      <c r="G39" s="46">
        <v>43070</v>
      </c>
      <c r="H39" s="47">
        <v>43109</v>
      </c>
      <c r="I39" s="49">
        <v>39</v>
      </c>
      <c r="J39" s="62" t="s">
        <v>169</v>
      </c>
      <c r="K39" s="64" t="s">
        <v>554</v>
      </c>
      <c r="L39" s="76" t="s">
        <v>421</v>
      </c>
      <c r="M39" s="81" t="s">
        <v>85</v>
      </c>
      <c r="N39" s="81"/>
      <c r="O39" s="81"/>
      <c r="P39" s="81"/>
      <c r="Q39" s="50"/>
      <c r="R39" s="78"/>
      <c r="S39" s="78" t="s">
        <v>84</v>
      </c>
      <c r="T39" s="78" t="s">
        <v>60</v>
      </c>
      <c r="U39" s="93" t="s">
        <v>65</v>
      </c>
      <c r="V39" s="40" t="s">
        <v>68</v>
      </c>
      <c r="W39" s="101" t="s">
        <v>452</v>
      </c>
      <c r="X39" s="90" t="s">
        <v>1</v>
      </c>
      <c r="Y39" s="91"/>
      <c r="Z39" s="92"/>
      <c r="AA39" s="80"/>
      <c r="AB39" s="80"/>
      <c r="AC39" s="80"/>
    </row>
    <row r="40" spans="1:29" ht="39.950000000000003" customHeight="1" x14ac:dyDescent="0.25">
      <c r="A40" s="74" t="s">
        <v>428</v>
      </c>
      <c r="B40" s="85" t="s">
        <v>429</v>
      </c>
      <c r="C40" s="49" t="s">
        <v>19</v>
      </c>
      <c r="D40" s="49"/>
      <c r="E40" s="62" t="s">
        <v>16</v>
      </c>
      <c r="F40" s="62" t="s">
        <v>17</v>
      </c>
      <c r="G40" s="46">
        <v>43074</v>
      </c>
      <c r="H40" s="47">
        <v>43115</v>
      </c>
      <c r="I40" s="49">
        <v>41</v>
      </c>
      <c r="J40" s="62" t="s">
        <v>171</v>
      </c>
      <c r="K40" s="64" t="s">
        <v>554</v>
      </c>
      <c r="L40" s="76" t="s">
        <v>427</v>
      </c>
      <c r="M40" s="81" t="s">
        <v>88</v>
      </c>
      <c r="N40" s="81"/>
      <c r="O40" s="81"/>
      <c r="P40" s="81"/>
      <c r="Q40" s="50">
        <v>0</v>
      </c>
      <c r="R40" s="78">
        <v>0</v>
      </c>
      <c r="S40" s="78" t="s">
        <v>17</v>
      </c>
      <c r="T40" s="78" t="s">
        <v>1017</v>
      </c>
      <c r="U40" s="93" t="s">
        <v>1015</v>
      </c>
      <c r="V40" s="40" t="s">
        <v>991</v>
      </c>
      <c r="W40" s="101" t="s">
        <v>454</v>
      </c>
      <c r="X40" s="90" t="s">
        <v>1</v>
      </c>
      <c r="Y40" s="91" t="s">
        <v>79</v>
      </c>
      <c r="Z40" s="92"/>
      <c r="AA40" s="80"/>
      <c r="AB40" s="80"/>
      <c r="AC40" s="80"/>
    </row>
    <row r="41" spans="1:29" ht="39.950000000000003" customHeight="1" x14ac:dyDescent="0.25">
      <c r="A41" s="74" t="s">
        <v>434</v>
      </c>
      <c r="B41" s="85" t="s">
        <v>435</v>
      </c>
      <c r="C41" s="49" t="s">
        <v>19</v>
      </c>
      <c r="D41" s="49" t="s">
        <v>468</v>
      </c>
      <c r="E41" s="62" t="s">
        <v>15</v>
      </c>
      <c r="F41" s="62" t="s">
        <v>17</v>
      </c>
      <c r="G41" s="46">
        <v>43077</v>
      </c>
      <c r="H41" s="47">
        <v>43137</v>
      </c>
      <c r="I41" s="49">
        <v>60</v>
      </c>
      <c r="J41" s="62" t="s">
        <v>161</v>
      </c>
      <c r="K41" s="64" t="s">
        <v>554</v>
      </c>
      <c r="L41" s="76" t="s">
        <v>430</v>
      </c>
      <c r="M41" s="81" t="s">
        <v>433</v>
      </c>
      <c r="N41" s="81"/>
      <c r="O41" s="81"/>
      <c r="P41" s="81"/>
      <c r="Q41" s="50">
        <v>0</v>
      </c>
      <c r="R41" s="78">
        <v>0</v>
      </c>
      <c r="S41" s="78" t="s">
        <v>17</v>
      </c>
      <c r="T41" s="78" t="s">
        <v>997</v>
      </c>
      <c r="U41" s="93" t="s">
        <v>1653</v>
      </c>
      <c r="V41" s="40" t="s">
        <v>1000</v>
      </c>
      <c r="W41" s="101" t="s">
        <v>541</v>
      </c>
      <c r="X41" s="90" t="s">
        <v>146</v>
      </c>
      <c r="Y41" s="91" t="s">
        <v>79</v>
      </c>
      <c r="Z41" s="92"/>
      <c r="AA41" s="80"/>
      <c r="AB41" s="80"/>
      <c r="AC41" s="80"/>
    </row>
    <row r="42" spans="1:29" ht="39.950000000000003" customHeight="1" x14ac:dyDescent="0.25">
      <c r="A42" s="74" t="s">
        <v>438</v>
      </c>
      <c r="B42" s="85" t="s">
        <v>439</v>
      </c>
      <c r="C42" s="49" t="s">
        <v>19</v>
      </c>
      <c r="D42" s="49" t="s">
        <v>468</v>
      </c>
      <c r="E42" s="62" t="s">
        <v>15</v>
      </c>
      <c r="F42" s="62" t="s">
        <v>17</v>
      </c>
      <c r="G42" s="46">
        <v>43077</v>
      </c>
      <c r="H42" s="47">
        <v>43216</v>
      </c>
      <c r="I42" s="49">
        <v>139</v>
      </c>
      <c r="J42" s="62" t="s">
        <v>161</v>
      </c>
      <c r="K42" s="64" t="s">
        <v>554</v>
      </c>
      <c r="L42" s="76" t="s">
        <v>459</v>
      </c>
      <c r="M42" s="81" t="s">
        <v>465</v>
      </c>
      <c r="N42" s="81"/>
      <c r="O42" s="81" t="s">
        <v>1209</v>
      </c>
      <c r="P42" s="81" t="s">
        <v>1209</v>
      </c>
      <c r="Q42" s="50"/>
      <c r="R42" s="78"/>
      <c r="S42" s="78" t="s">
        <v>341</v>
      </c>
      <c r="T42" s="78" t="s">
        <v>1022</v>
      </c>
      <c r="U42" s="93" t="s">
        <v>1654</v>
      </c>
      <c r="V42" s="40" t="s">
        <v>1550</v>
      </c>
      <c r="W42" s="101" t="s">
        <v>1548</v>
      </c>
      <c r="X42" s="90" t="s">
        <v>1</v>
      </c>
      <c r="Y42" s="91" t="s">
        <v>79</v>
      </c>
      <c r="Z42" s="92"/>
      <c r="AA42" s="80"/>
      <c r="AB42" s="80"/>
      <c r="AC42" s="80"/>
    </row>
    <row r="43" spans="1:29" ht="39.950000000000003" customHeight="1" x14ac:dyDescent="0.25">
      <c r="A43" s="74" t="s">
        <v>440</v>
      </c>
      <c r="B43" s="86" t="s">
        <v>442</v>
      </c>
      <c r="C43" s="49" t="s">
        <v>19</v>
      </c>
      <c r="D43" s="49"/>
      <c r="E43" s="62" t="s">
        <v>441</v>
      </c>
      <c r="F43" s="62"/>
      <c r="G43" s="46">
        <v>43075</v>
      </c>
      <c r="H43" s="47">
        <v>43146</v>
      </c>
      <c r="I43" s="49">
        <v>71</v>
      </c>
      <c r="J43" s="62" t="s">
        <v>393</v>
      </c>
      <c r="K43" s="64" t="s">
        <v>554</v>
      </c>
      <c r="L43" s="76"/>
      <c r="M43" s="81" t="s">
        <v>324</v>
      </c>
      <c r="N43" s="81"/>
      <c r="O43" s="81"/>
      <c r="P43" s="81"/>
      <c r="Q43" s="50"/>
      <c r="R43" s="78"/>
      <c r="S43" s="78" t="s">
        <v>441</v>
      </c>
      <c r="T43" s="78" t="s">
        <v>285</v>
      </c>
      <c r="U43" s="93" t="s">
        <v>285</v>
      </c>
      <c r="V43" s="40" t="s">
        <v>285</v>
      </c>
      <c r="W43" s="101" t="s">
        <v>586</v>
      </c>
      <c r="X43" s="90" t="s">
        <v>1</v>
      </c>
      <c r="Y43" s="91"/>
      <c r="Z43" s="92"/>
      <c r="AA43" s="80"/>
      <c r="AB43" s="80"/>
      <c r="AC43" s="80"/>
    </row>
    <row r="44" spans="1:29" ht="39.950000000000003" customHeight="1" x14ac:dyDescent="0.25">
      <c r="A44" s="74" t="s">
        <v>443</v>
      </c>
      <c r="B44" s="86" t="s">
        <v>444</v>
      </c>
      <c r="C44" s="49" t="s">
        <v>19</v>
      </c>
      <c r="D44" s="49" t="s">
        <v>468</v>
      </c>
      <c r="E44" s="62" t="s">
        <v>15</v>
      </c>
      <c r="F44" s="62" t="s">
        <v>17</v>
      </c>
      <c r="G44" s="46">
        <v>43094</v>
      </c>
      <c r="H44" s="47">
        <v>43146</v>
      </c>
      <c r="I44" s="49">
        <v>52</v>
      </c>
      <c r="J44" s="62" t="s">
        <v>161</v>
      </c>
      <c r="K44" s="64" t="s">
        <v>554</v>
      </c>
      <c r="L44" s="76" t="s">
        <v>387</v>
      </c>
      <c r="M44" s="81" t="s">
        <v>436</v>
      </c>
      <c r="N44" s="81" t="s">
        <v>285</v>
      </c>
      <c r="O44" s="81" t="s">
        <v>285</v>
      </c>
      <c r="P44" s="81" t="s">
        <v>79</v>
      </c>
      <c r="Q44" s="50">
        <v>0</v>
      </c>
      <c r="R44" s="78">
        <v>0</v>
      </c>
      <c r="S44" s="78" t="s">
        <v>341</v>
      </c>
      <c r="T44" s="78" t="s">
        <v>1021</v>
      </c>
      <c r="U44" s="93" t="s">
        <v>1547</v>
      </c>
      <c r="V44" s="40" t="s">
        <v>1552</v>
      </c>
      <c r="W44" s="101" t="s">
        <v>1551</v>
      </c>
      <c r="X44" s="90" t="s">
        <v>1</v>
      </c>
      <c r="Y44" s="91" t="s">
        <v>79</v>
      </c>
      <c r="Z44" s="92"/>
      <c r="AA44" s="80"/>
      <c r="AB44" s="80"/>
      <c r="AC44" s="80"/>
    </row>
    <row r="45" spans="1:29" ht="39.950000000000003" customHeight="1" x14ac:dyDescent="0.25">
      <c r="A45" s="74" t="s">
        <v>447</v>
      </c>
      <c r="B45" s="85" t="s">
        <v>448</v>
      </c>
      <c r="C45" s="49" t="s">
        <v>19</v>
      </c>
      <c r="D45" s="49" t="s">
        <v>468</v>
      </c>
      <c r="E45" s="62" t="s">
        <v>15</v>
      </c>
      <c r="F45" s="62" t="s">
        <v>17</v>
      </c>
      <c r="G45" s="46">
        <v>43091</v>
      </c>
      <c r="H45" s="47">
        <v>43353</v>
      </c>
      <c r="I45" s="49">
        <v>262</v>
      </c>
      <c r="J45" s="62" t="s">
        <v>445</v>
      </c>
      <c r="K45" s="64" t="s">
        <v>555</v>
      </c>
      <c r="L45" s="76" t="s">
        <v>124</v>
      </c>
      <c r="M45" s="81" t="s">
        <v>437</v>
      </c>
      <c r="N45" s="81"/>
      <c r="O45" s="81"/>
      <c r="P45" s="81"/>
      <c r="Q45" s="50">
        <v>0</v>
      </c>
      <c r="R45" s="78">
        <v>0</v>
      </c>
      <c r="S45" s="78" t="s">
        <v>136</v>
      </c>
      <c r="T45" s="78" t="s">
        <v>58</v>
      </c>
      <c r="U45" s="93" t="s">
        <v>1009</v>
      </c>
      <c r="V45" s="40" t="s">
        <v>991</v>
      </c>
      <c r="W45" s="101" t="s">
        <v>469</v>
      </c>
      <c r="X45" s="90" t="s">
        <v>1</v>
      </c>
      <c r="Y45" s="91" t="s">
        <v>79</v>
      </c>
      <c r="Z45" s="92"/>
      <c r="AA45" s="80"/>
      <c r="AB45" s="80"/>
      <c r="AC45" s="80"/>
    </row>
    <row r="46" spans="1:29" ht="39.950000000000003" customHeight="1" x14ac:dyDescent="0.25">
      <c r="A46" s="74" t="s">
        <v>456</v>
      </c>
      <c r="B46" s="86" t="s">
        <v>457</v>
      </c>
      <c r="C46" s="49" t="s">
        <v>19</v>
      </c>
      <c r="D46" s="49" t="s">
        <v>468</v>
      </c>
      <c r="E46" s="62" t="s">
        <v>441</v>
      </c>
      <c r="F46" s="62" t="s">
        <v>17</v>
      </c>
      <c r="G46" s="46">
        <v>43115</v>
      </c>
      <c r="H46" s="47">
        <v>43216</v>
      </c>
      <c r="I46" s="49">
        <v>101</v>
      </c>
      <c r="J46" s="62" t="s">
        <v>173</v>
      </c>
      <c r="K46" s="64" t="s">
        <v>554</v>
      </c>
      <c r="L46" s="76" t="s">
        <v>459</v>
      </c>
      <c r="M46" s="81" t="s">
        <v>465</v>
      </c>
      <c r="N46" s="81"/>
      <c r="O46" s="81" t="s">
        <v>1209</v>
      </c>
      <c r="P46" s="81" t="s">
        <v>1209</v>
      </c>
      <c r="Q46" s="50">
        <v>0</v>
      </c>
      <c r="R46" s="78">
        <v>0</v>
      </c>
      <c r="S46" s="78" t="s">
        <v>341</v>
      </c>
      <c r="T46" s="78" t="s">
        <v>1021</v>
      </c>
      <c r="U46" s="93" t="s">
        <v>1549</v>
      </c>
      <c r="V46" s="40" t="s">
        <v>1550</v>
      </c>
      <c r="W46" s="101" t="s">
        <v>1553</v>
      </c>
      <c r="X46" s="90" t="s">
        <v>952</v>
      </c>
      <c r="Y46" s="91" t="s">
        <v>79</v>
      </c>
      <c r="Z46" s="92"/>
      <c r="AA46" s="80"/>
      <c r="AB46" s="80"/>
      <c r="AC46" s="80"/>
    </row>
    <row r="47" spans="1:29" ht="39.950000000000003" customHeight="1" x14ac:dyDescent="0.25">
      <c r="A47" s="74" t="s">
        <v>466</v>
      </c>
      <c r="B47" s="86" t="s">
        <v>467</v>
      </c>
      <c r="C47" s="49" t="s">
        <v>19</v>
      </c>
      <c r="D47" s="49" t="s">
        <v>468</v>
      </c>
      <c r="E47" s="62" t="s">
        <v>15</v>
      </c>
      <c r="F47" s="62" t="s">
        <v>17</v>
      </c>
      <c r="G47" s="46">
        <v>43115</v>
      </c>
      <c r="H47" s="47">
        <v>43264</v>
      </c>
      <c r="I47" s="49">
        <v>149</v>
      </c>
      <c r="J47" s="62" t="s">
        <v>161</v>
      </c>
      <c r="K47" s="64" t="s">
        <v>554</v>
      </c>
      <c r="L47" s="76" t="s">
        <v>461</v>
      </c>
      <c r="M47" s="81" t="s">
        <v>465</v>
      </c>
      <c r="N47" s="81"/>
      <c r="O47" s="81" t="s">
        <v>79</v>
      </c>
      <c r="P47" s="81" t="s">
        <v>79</v>
      </c>
      <c r="Q47" s="50"/>
      <c r="R47" s="78"/>
      <c r="S47" s="78" t="s">
        <v>341</v>
      </c>
      <c r="T47" s="78" t="s">
        <v>1021</v>
      </c>
      <c r="U47" s="93" t="s">
        <v>1554</v>
      </c>
      <c r="V47" s="40" t="s">
        <v>1000</v>
      </c>
      <c r="W47" s="101" t="s">
        <v>1555</v>
      </c>
      <c r="X47" s="90" t="s">
        <v>89</v>
      </c>
      <c r="Y47" s="91" t="s">
        <v>79</v>
      </c>
      <c r="Z47" s="92"/>
      <c r="AA47" s="80"/>
      <c r="AB47" s="80"/>
      <c r="AC47" s="80"/>
    </row>
    <row r="48" spans="1:29" ht="39.950000000000003" customHeight="1" x14ac:dyDescent="0.25">
      <c r="A48" s="80" t="s">
        <v>470</v>
      </c>
      <c r="B48" s="86" t="s">
        <v>471</v>
      </c>
      <c r="C48" s="49" t="s">
        <v>19</v>
      </c>
      <c r="D48" s="49" t="s">
        <v>468</v>
      </c>
      <c r="E48" s="62" t="s">
        <v>17</v>
      </c>
      <c r="F48" s="62" t="s">
        <v>17</v>
      </c>
      <c r="G48" s="46">
        <v>43123</v>
      </c>
      <c r="H48" s="47">
        <v>43146</v>
      </c>
      <c r="I48" s="49">
        <v>23</v>
      </c>
      <c r="J48" s="62" t="s">
        <v>176</v>
      </c>
      <c r="K48" s="64" t="s">
        <v>554</v>
      </c>
      <c r="L48" s="76" t="s">
        <v>248</v>
      </c>
      <c r="M48" s="81" t="s">
        <v>72</v>
      </c>
      <c r="N48" s="81"/>
      <c r="O48" s="81"/>
      <c r="P48" s="81"/>
      <c r="Q48" s="50">
        <v>0</v>
      </c>
      <c r="R48" s="78">
        <v>0</v>
      </c>
      <c r="S48" s="78" t="s">
        <v>12</v>
      </c>
      <c r="T48" s="78" t="s">
        <v>1721</v>
      </c>
      <c r="U48" s="93" t="s">
        <v>953</v>
      </c>
      <c r="V48" s="40" t="s">
        <v>989</v>
      </c>
      <c r="W48" s="101" t="s">
        <v>588</v>
      </c>
      <c r="X48" s="90" t="s">
        <v>0</v>
      </c>
      <c r="Y48" s="91" t="s">
        <v>79</v>
      </c>
      <c r="Z48" s="92"/>
      <c r="AA48" s="80"/>
      <c r="AB48" s="80"/>
      <c r="AC48" s="80"/>
    </row>
    <row r="49" spans="1:29" ht="39.950000000000003" customHeight="1" x14ac:dyDescent="0.25">
      <c r="A49" s="80" t="s">
        <v>472</v>
      </c>
      <c r="B49" s="86" t="s">
        <v>473</v>
      </c>
      <c r="C49" s="49" t="s">
        <v>19</v>
      </c>
      <c r="D49" s="49" t="s">
        <v>285</v>
      </c>
      <c r="E49" s="62" t="s">
        <v>441</v>
      </c>
      <c r="F49" s="62"/>
      <c r="G49" s="46">
        <v>43123</v>
      </c>
      <c r="H49" s="47">
        <v>43129</v>
      </c>
      <c r="I49" s="49">
        <v>6</v>
      </c>
      <c r="J49" s="62" t="s">
        <v>162</v>
      </c>
      <c r="K49" s="64" t="s">
        <v>554</v>
      </c>
      <c r="L49" s="76" t="s">
        <v>415</v>
      </c>
      <c r="M49" s="81" t="s">
        <v>417</v>
      </c>
      <c r="N49" s="81"/>
      <c r="O49" s="81"/>
      <c r="P49" s="81"/>
      <c r="Q49" s="50"/>
      <c r="R49" s="78"/>
      <c r="S49" s="78" t="s">
        <v>464</v>
      </c>
      <c r="T49" s="78" t="s">
        <v>59</v>
      </c>
      <c r="U49" s="93" t="s">
        <v>62</v>
      </c>
      <c r="V49" s="40" t="s">
        <v>311</v>
      </c>
      <c r="W49" s="101" t="s">
        <v>493</v>
      </c>
      <c r="X49" s="90"/>
      <c r="Y49" s="91"/>
      <c r="Z49" s="92"/>
      <c r="AA49" s="80"/>
      <c r="AB49" s="80"/>
      <c r="AC49" s="80"/>
    </row>
    <row r="50" spans="1:29" ht="39.950000000000003" customHeight="1" x14ac:dyDescent="0.25">
      <c r="A50" s="80" t="s">
        <v>475</v>
      </c>
      <c r="B50" s="86" t="s">
        <v>476</v>
      </c>
      <c r="C50" s="49" t="s">
        <v>19</v>
      </c>
      <c r="D50" s="49" t="s">
        <v>285</v>
      </c>
      <c r="E50" s="62" t="s">
        <v>136</v>
      </c>
      <c r="F50" s="62"/>
      <c r="G50" s="46">
        <v>43125</v>
      </c>
      <c r="H50" s="47">
        <v>43129</v>
      </c>
      <c r="I50" s="49">
        <v>4</v>
      </c>
      <c r="J50" s="62" t="s">
        <v>184</v>
      </c>
      <c r="K50" s="64" t="s">
        <v>555</v>
      </c>
      <c r="L50" s="76" t="s">
        <v>474</v>
      </c>
      <c r="M50" s="81" t="s">
        <v>75</v>
      </c>
      <c r="N50" s="81"/>
      <c r="O50" s="81"/>
      <c r="P50" s="81"/>
      <c r="Q50" s="50"/>
      <c r="R50" s="78"/>
      <c r="S50" s="78" t="s">
        <v>464</v>
      </c>
      <c r="T50" s="78" t="s">
        <v>413</v>
      </c>
      <c r="U50" s="93" t="s">
        <v>150</v>
      </c>
      <c r="V50" s="40" t="s">
        <v>450</v>
      </c>
      <c r="W50" s="101" t="s">
        <v>494</v>
      </c>
      <c r="X50" s="90"/>
      <c r="Y50" s="91"/>
      <c r="Z50" s="92"/>
      <c r="AA50" s="80"/>
      <c r="AB50" s="80"/>
      <c r="AC50" s="80"/>
    </row>
    <row r="51" spans="1:29" ht="39.950000000000003" customHeight="1" x14ac:dyDescent="0.25">
      <c r="A51" s="80" t="s">
        <v>479</v>
      </c>
      <c r="B51" s="85" t="s">
        <v>480</v>
      </c>
      <c r="C51" s="49" t="s">
        <v>19</v>
      </c>
      <c r="D51" s="49" t="s">
        <v>468</v>
      </c>
      <c r="E51" s="62" t="s">
        <v>136</v>
      </c>
      <c r="F51" s="62" t="s">
        <v>17</v>
      </c>
      <c r="G51" s="46">
        <v>43125</v>
      </c>
      <c r="H51" s="47">
        <v>43353</v>
      </c>
      <c r="I51" s="49">
        <v>228</v>
      </c>
      <c r="J51" s="62" t="s">
        <v>393</v>
      </c>
      <c r="K51" s="64" t="s">
        <v>554</v>
      </c>
      <c r="L51" s="76" t="s">
        <v>304</v>
      </c>
      <c r="M51" s="81" t="s">
        <v>305</v>
      </c>
      <c r="N51" s="81"/>
      <c r="O51" s="81" t="s">
        <v>1209</v>
      </c>
      <c r="P51" s="81" t="s">
        <v>1209</v>
      </c>
      <c r="Q51" s="50">
        <v>0</v>
      </c>
      <c r="R51" s="78">
        <v>0</v>
      </c>
      <c r="S51" s="78" t="s">
        <v>136</v>
      </c>
      <c r="T51" s="78" t="s">
        <v>413</v>
      </c>
      <c r="U51" s="93" t="s">
        <v>1013</v>
      </c>
      <c r="V51" s="40" t="s">
        <v>994</v>
      </c>
      <c r="W51" s="101" t="s">
        <v>605</v>
      </c>
      <c r="X51" s="90" t="s">
        <v>952</v>
      </c>
      <c r="Y51" s="91" t="s">
        <v>79</v>
      </c>
      <c r="Z51" s="92"/>
      <c r="AA51" s="80"/>
      <c r="AB51" s="80"/>
      <c r="AC51" s="80"/>
    </row>
    <row r="52" spans="1:29" ht="39.950000000000003" customHeight="1" x14ac:dyDescent="0.25">
      <c r="A52" s="80" t="s">
        <v>482</v>
      </c>
      <c r="B52" s="85" t="s">
        <v>483</v>
      </c>
      <c r="C52" s="49" t="s">
        <v>19</v>
      </c>
      <c r="D52" s="49" t="s">
        <v>285</v>
      </c>
      <c r="E52" s="62" t="s">
        <v>17</v>
      </c>
      <c r="F52" s="62"/>
      <c r="G52" s="46">
        <v>43126</v>
      </c>
      <c r="H52" s="47">
        <v>43192</v>
      </c>
      <c r="I52" s="49">
        <v>66</v>
      </c>
      <c r="J52" s="62" t="s">
        <v>164</v>
      </c>
      <c r="K52" s="64" t="s">
        <v>554</v>
      </c>
      <c r="L52" s="76" t="s">
        <v>481</v>
      </c>
      <c r="M52" s="81" t="s">
        <v>74</v>
      </c>
      <c r="N52" s="81"/>
      <c r="O52" s="81"/>
      <c r="P52" s="81"/>
      <c r="Q52" s="50"/>
      <c r="R52" s="78"/>
      <c r="S52" s="78" t="s">
        <v>464</v>
      </c>
      <c r="T52" s="78" t="s">
        <v>60</v>
      </c>
      <c r="U52" s="93" t="s">
        <v>66</v>
      </c>
      <c r="V52" s="40" t="s">
        <v>68</v>
      </c>
      <c r="W52" s="101" t="s">
        <v>727</v>
      </c>
      <c r="X52" s="90"/>
      <c r="Y52" s="91"/>
      <c r="Z52" s="92"/>
      <c r="AA52" s="80"/>
      <c r="AB52" s="80"/>
      <c r="AC52" s="80"/>
    </row>
    <row r="53" spans="1:29" ht="39.950000000000003" customHeight="1" x14ac:dyDescent="0.25">
      <c r="A53" s="80" t="s">
        <v>488</v>
      </c>
      <c r="B53" s="85" t="s">
        <v>489</v>
      </c>
      <c r="C53" s="49" t="s">
        <v>19</v>
      </c>
      <c r="D53" s="49" t="s">
        <v>285</v>
      </c>
      <c r="E53" s="62" t="s">
        <v>341</v>
      </c>
      <c r="F53" s="62"/>
      <c r="G53" s="46">
        <v>43126</v>
      </c>
      <c r="H53" s="47">
        <v>43165</v>
      </c>
      <c r="I53" s="49">
        <v>39</v>
      </c>
      <c r="J53" s="62" t="s">
        <v>170</v>
      </c>
      <c r="K53" s="64" t="s">
        <v>554</v>
      </c>
      <c r="L53" s="76" t="s">
        <v>327</v>
      </c>
      <c r="M53" s="81" t="s">
        <v>325</v>
      </c>
      <c r="N53" s="81"/>
      <c r="O53" s="81"/>
      <c r="P53" s="81"/>
      <c r="Q53" s="50"/>
      <c r="R53" s="78"/>
      <c r="S53" s="78" t="s">
        <v>490</v>
      </c>
      <c r="T53" s="78" t="s">
        <v>60</v>
      </c>
      <c r="U53" s="93" t="s">
        <v>83</v>
      </c>
      <c r="V53" s="40" t="s">
        <v>450</v>
      </c>
      <c r="W53" s="101" t="s">
        <v>664</v>
      </c>
      <c r="X53" s="90"/>
      <c r="Y53" s="91"/>
      <c r="Z53" s="92"/>
      <c r="AA53" s="80"/>
      <c r="AB53" s="80"/>
      <c r="AC53" s="80"/>
    </row>
    <row r="54" spans="1:29" ht="39.950000000000003" customHeight="1" x14ac:dyDescent="0.25">
      <c r="A54" s="80" t="s">
        <v>491</v>
      </c>
      <c r="B54" s="85" t="s">
        <v>492</v>
      </c>
      <c r="C54" s="49" t="s">
        <v>19</v>
      </c>
      <c r="D54" s="49" t="s">
        <v>468</v>
      </c>
      <c r="E54" s="62" t="s">
        <v>341</v>
      </c>
      <c r="F54" s="62"/>
      <c r="G54" s="46">
        <v>43126</v>
      </c>
      <c r="H54" s="47">
        <v>43277</v>
      </c>
      <c r="I54" s="49">
        <v>151</v>
      </c>
      <c r="J54" s="62" t="s">
        <v>170</v>
      </c>
      <c r="K54" s="64" t="s">
        <v>554</v>
      </c>
      <c r="L54" s="76" t="s">
        <v>207</v>
      </c>
      <c r="M54" s="81" t="s">
        <v>72</v>
      </c>
      <c r="N54" s="81"/>
      <c r="O54" s="81"/>
      <c r="P54" s="81"/>
      <c r="Q54" s="50"/>
      <c r="R54" s="78"/>
      <c r="S54" s="78" t="s">
        <v>582</v>
      </c>
      <c r="T54" s="78" t="s">
        <v>60</v>
      </c>
      <c r="U54" s="93" t="s">
        <v>285</v>
      </c>
      <c r="V54" s="40" t="s">
        <v>285</v>
      </c>
      <c r="W54" s="101" t="s">
        <v>856</v>
      </c>
      <c r="X54" s="90"/>
      <c r="Y54" s="91"/>
      <c r="Z54" s="92"/>
      <c r="AA54" s="80"/>
      <c r="AB54" s="80"/>
      <c r="AC54" s="80"/>
    </row>
    <row r="55" spans="1:29" ht="39.950000000000003" customHeight="1" x14ac:dyDescent="0.25">
      <c r="A55" s="80" t="s">
        <v>495</v>
      </c>
      <c r="B55" s="85" t="s">
        <v>496</v>
      </c>
      <c r="C55" s="49" t="s">
        <v>19</v>
      </c>
      <c r="D55" s="49" t="s">
        <v>468</v>
      </c>
      <c r="E55" s="62" t="s">
        <v>15</v>
      </c>
      <c r="F55" s="62" t="s">
        <v>17</v>
      </c>
      <c r="G55" s="46">
        <v>43130</v>
      </c>
      <c r="H55" s="47">
        <v>43146</v>
      </c>
      <c r="I55" s="49">
        <v>16</v>
      </c>
      <c r="J55" s="62" t="s">
        <v>161</v>
      </c>
      <c r="K55" s="64" t="s">
        <v>554</v>
      </c>
      <c r="L55" s="76" t="s">
        <v>387</v>
      </c>
      <c r="M55" s="81" t="s">
        <v>314</v>
      </c>
      <c r="N55" s="81"/>
      <c r="O55" s="81" t="s">
        <v>285</v>
      </c>
      <c r="P55" s="81" t="s">
        <v>79</v>
      </c>
      <c r="Q55" s="50"/>
      <c r="R55" s="78"/>
      <c r="S55" s="78" t="s">
        <v>508</v>
      </c>
      <c r="T55" s="78" t="s">
        <v>1722</v>
      </c>
      <c r="U55" s="93" t="s">
        <v>1653</v>
      </c>
      <c r="V55" s="40" t="s">
        <v>1655</v>
      </c>
      <c r="W55" s="101" t="s">
        <v>589</v>
      </c>
      <c r="X55" s="90" t="s">
        <v>146</v>
      </c>
      <c r="Y55" s="91" t="s">
        <v>79</v>
      </c>
      <c r="Z55" s="92" t="s">
        <v>396</v>
      </c>
      <c r="AA55" s="80"/>
      <c r="AB55" s="80"/>
      <c r="AC55" s="80"/>
    </row>
    <row r="56" spans="1:29" ht="39.950000000000003" customHeight="1" x14ac:dyDescent="0.25">
      <c r="A56" s="80" t="s">
        <v>498</v>
      </c>
      <c r="B56" s="85" t="s">
        <v>499</v>
      </c>
      <c r="C56" s="49" t="s">
        <v>19</v>
      </c>
      <c r="D56" s="49" t="s">
        <v>285</v>
      </c>
      <c r="E56" s="62" t="s">
        <v>108</v>
      </c>
      <c r="F56" s="62" t="s">
        <v>17</v>
      </c>
      <c r="G56" s="46">
        <v>43130</v>
      </c>
      <c r="H56" s="47">
        <v>43131</v>
      </c>
      <c r="I56" s="49">
        <v>1</v>
      </c>
      <c r="J56" s="62" t="s">
        <v>183</v>
      </c>
      <c r="K56" s="64" t="s">
        <v>555</v>
      </c>
      <c r="L56" s="76" t="s">
        <v>497</v>
      </c>
      <c r="M56" s="81" t="s">
        <v>76</v>
      </c>
      <c r="N56" s="81"/>
      <c r="O56" s="81" t="s">
        <v>1209</v>
      </c>
      <c r="P56" s="81" t="s">
        <v>1209</v>
      </c>
      <c r="Q56" s="50"/>
      <c r="R56" s="78"/>
      <c r="S56" s="78" t="s">
        <v>108</v>
      </c>
      <c r="T56" s="78" t="s">
        <v>60</v>
      </c>
      <c r="U56" s="93" t="s">
        <v>501</v>
      </c>
      <c r="V56" s="40" t="s">
        <v>995</v>
      </c>
      <c r="W56" s="100" t="s">
        <v>500</v>
      </c>
      <c r="X56" s="90" t="s">
        <v>1</v>
      </c>
      <c r="Y56" s="91" t="s">
        <v>79</v>
      </c>
      <c r="Z56" s="92"/>
      <c r="AA56" s="80"/>
      <c r="AB56" s="80"/>
      <c r="AC56" s="80"/>
    </row>
    <row r="57" spans="1:29" ht="39.950000000000003" customHeight="1" x14ac:dyDescent="0.25">
      <c r="A57" s="80" t="s">
        <v>502</v>
      </c>
      <c r="B57" s="86" t="s">
        <v>503</v>
      </c>
      <c r="C57" s="49" t="s">
        <v>19</v>
      </c>
      <c r="D57" s="49" t="s">
        <v>468</v>
      </c>
      <c r="E57" s="62" t="s">
        <v>441</v>
      </c>
      <c r="F57" s="62" t="s">
        <v>17</v>
      </c>
      <c r="G57" s="46">
        <v>43131</v>
      </c>
      <c r="H57" s="47">
        <v>43353</v>
      </c>
      <c r="I57" s="49">
        <v>222</v>
      </c>
      <c r="J57" s="62" t="s">
        <v>175</v>
      </c>
      <c r="K57" s="64" t="s">
        <v>554</v>
      </c>
      <c r="L57" s="76" t="s">
        <v>204</v>
      </c>
      <c r="M57" s="81" t="s">
        <v>72</v>
      </c>
      <c r="N57" s="81"/>
      <c r="O57" s="81"/>
      <c r="P57" s="81"/>
      <c r="Q57" s="50">
        <v>0</v>
      </c>
      <c r="R57" s="78">
        <v>0</v>
      </c>
      <c r="S57" s="78" t="s">
        <v>490</v>
      </c>
      <c r="T57" s="78" t="s">
        <v>60</v>
      </c>
      <c r="U57" s="93" t="s">
        <v>1011</v>
      </c>
      <c r="V57" s="40" t="s">
        <v>993</v>
      </c>
      <c r="W57" s="101" t="s">
        <v>653</v>
      </c>
      <c r="X57" s="90" t="s">
        <v>952</v>
      </c>
      <c r="Y57" s="91" t="s">
        <v>79</v>
      </c>
      <c r="Z57" s="92"/>
      <c r="AA57" s="80"/>
      <c r="AB57" s="80"/>
      <c r="AC57" s="80"/>
    </row>
    <row r="58" spans="1:29" ht="39.950000000000003" customHeight="1" x14ac:dyDescent="0.25">
      <c r="A58" s="80" t="s">
        <v>504</v>
      </c>
      <c r="B58" s="85" t="s">
        <v>505</v>
      </c>
      <c r="C58" s="49" t="s">
        <v>19</v>
      </c>
      <c r="D58" s="49" t="s">
        <v>285</v>
      </c>
      <c r="E58" s="62" t="s">
        <v>16</v>
      </c>
      <c r="F58" s="62" t="s">
        <v>774</v>
      </c>
      <c r="G58" s="46">
        <v>43129</v>
      </c>
      <c r="H58" s="47">
        <v>43388</v>
      </c>
      <c r="I58" s="49">
        <v>259</v>
      </c>
      <c r="J58" s="62" t="s">
        <v>162</v>
      </c>
      <c r="K58" s="64" t="s">
        <v>554</v>
      </c>
      <c r="L58" s="76" t="s">
        <v>1384</v>
      </c>
      <c r="M58" s="81" t="s">
        <v>75</v>
      </c>
      <c r="N58" s="81" t="s">
        <v>915</v>
      </c>
      <c r="O58" s="81" t="s">
        <v>1385</v>
      </c>
      <c r="P58" s="81" t="s">
        <v>1209</v>
      </c>
      <c r="Q58" s="50">
        <v>0</v>
      </c>
      <c r="R58" s="78">
        <v>0</v>
      </c>
      <c r="S58" s="78" t="s">
        <v>582</v>
      </c>
      <c r="T58" s="78" t="s">
        <v>1730</v>
      </c>
      <c r="U58" s="93" t="s">
        <v>1012</v>
      </c>
      <c r="V58" s="40" t="s">
        <v>1731</v>
      </c>
      <c r="W58" s="100" t="s">
        <v>1732</v>
      </c>
      <c r="X58" s="90" t="s">
        <v>602</v>
      </c>
      <c r="Y58" s="91" t="s">
        <v>79</v>
      </c>
      <c r="Z58" s="92" t="s">
        <v>282</v>
      </c>
      <c r="AA58" s="80"/>
      <c r="AB58" s="80"/>
      <c r="AC58" s="80"/>
    </row>
    <row r="59" spans="1:29" ht="39.950000000000003" customHeight="1" x14ac:dyDescent="0.25">
      <c r="A59" s="80" t="s">
        <v>506</v>
      </c>
      <c r="B59" s="85" t="s">
        <v>507</v>
      </c>
      <c r="C59" s="49" t="s">
        <v>19</v>
      </c>
      <c r="D59" s="49" t="s">
        <v>468</v>
      </c>
      <c r="E59" s="62" t="s">
        <v>16</v>
      </c>
      <c r="F59" s="62"/>
      <c r="G59" s="46">
        <v>43129</v>
      </c>
      <c r="H59" s="47">
        <v>43277</v>
      </c>
      <c r="I59" s="49">
        <v>148</v>
      </c>
      <c r="J59" s="62" t="s">
        <v>162</v>
      </c>
      <c r="K59" s="64" t="s">
        <v>554</v>
      </c>
      <c r="L59" s="76" t="s">
        <v>206</v>
      </c>
      <c r="M59" s="81" t="s">
        <v>72</v>
      </c>
      <c r="N59" s="81"/>
      <c r="O59" s="81"/>
      <c r="P59" s="81"/>
      <c r="Q59" s="50"/>
      <c r="R59" s="78"/>
      <c r="S59" s="79" t="s">
        <v>582</v>
      </c>
      <c r="T59" s="82" t="s">
        <v>60</v>
      </c>
      <c r="U59" s="93"/>
      <c r="V59" s="40" t="s">
        <v>311</v>
      </c>
      <c r="W59" s="101" t="s">
        <v>857</v>
      </c>
      <c r="X59" s="90"/>
      <c r="Y59" s="91"/>
      <c r="Z59" s="92"/>
      <c r="AA59" s="80"/>
      <c r="AB59" s="80"/>
      <c r="AC59" s="80"/>
    </row>
    <row r="60" spans="1:29" ht="39.950000000000003" customHeight="1" x14ac:dyDescent="0.25">
      <c r="A60" s="80" t="s">
        <v>518</v>
      </c>
      <c r="B60" s="85" t="s">
        <v>519</v>
      </c>
      <c r="C60" s="49" t="s">
        <v>19</v>
      </c>
      <c r="D60" s="49" t="s">
        <v>520</v>
      </c>
      <c r="E60" s="62" t="s">
        <v>517</v>
      </c>
      <c r="F60" s="62"/>
      <c r="G60" s="46">
        <v>43132</v>
      </c>
      <c r="H60" s="47">
        <v>43144</v>
      </c>
      <c r="I60" s="49">
        <v>12</v>
      </c>
      <c r="J60" s="62" t="s">
        <v>180</v>
      </c>
      <c r="K60" s="64" t="s">
        <v>555</v>
      </c>
      <c r="L60" s="76" t="s">
        <v>516</v>
      </c>
      <c r="M60" s="81" t="s">
        <v>515</v>
      </c>
      <c r="N60" s="81"/>
      <c r="O60" s="81"/>
      <c r="P60" s="81"/>
      <c r="Q60" s="50"/>
      <c r="R60" s="78"/>
      <c r="S60" s="79" t="s">
        <v>464</v>
      </c>
      <c r="T60" s="82" t="s">
        <v>60</v>
      </c>
      <c r="U60" s="93" t="s">
        <v>62</v>
      </c>
      <c r="V60" s="40" t="s">
        <v>68</v>
      </c>
      <c r="W60" s="101" t="s">
        <v>576</v>
      </c>
      <c r="X60" s="90" t="s">
        <v>1</v>
      </c>
      <c r="Y60" s="91"/>
      <c r="Z60" s="92"/>
      <c r="AA60" s="80"/>
      <c r="AB60" s="80"/>
      <c r="AC60" s="80"/>
    </row>
    <row r="61" spans="1:29" ht="39.950000000000003" customHeight="1" x14ac:dyDescent="0.25">
      <c r="A61" s="80" t="s">
        <v>522</v>
      </c>
      <c r="B61" s="85" t="s">
        <v>523</v>
      </c>
      <c r="C61" s="49" t="s">
        <v>19</v>
      </c>
      <c r="D61" s="49" t="s">
        <v>520</v>
      </c>
      <c r="E61" s="62" t="s">
        <v>108</v>
      </c>
      <c r="F61" s="62" t="s">
        <v>17</v>
      </c>
      <c r="G61" s="46">
        <v>43132</v>
      </c>
      <c r="H61" s="47">
        <v>43132</v>
      </c>
      <c r="I61" s="49">
        <v>0</v>
      </c>
      <c r="J61" s="62" t="s">
        <v>182</v>
      </c>
      <c r="K61" s="64" t="s">
        <v>555</v>
      </c>
      <c r="L61" s="76" t="s">
        <v>521</v>
      </c>
      <c r="M61" s="81" t="s">
        <v>314</v>
      </c>
      <c r="N61" s="81"/>
      <c r="O61" s="81" t="s">
        <v>1209</v>
      </c>
      <c r="P61" s="81" t="s">
        <v>1209</v>
      </c>
      <c r="Q61" s="50"/>
      <c r="R61" s="78"/>
      <c r="S61" s="79" t="s">
        <v>17</v>
      </c>
      <c r="T61" s="82" t="s">
        <v>59</v>
      </c>
      <c r="U61" s="93" t="s">
        <v>62</v>
      </c>
      <c r="V61" s="40" t="s">
        <v>67</v>
      </c>
      <c r="W61" s="101" t="s">
        <v>524</v>
      </c>
      <c r="X61" s="90" t="s">
        <v>146</v>
      </c>
      <c r="Y61" s="91" t="s">
        <v>79</v>
      </c>
      <c r="Z61" s="92"/>
      <c r="AA61" s="80"/>
      <c r="AB61" s="80"/>
      <c r="AC61" s="80"/>
    </row>
    <row r="62" spans="1:29" ht="39.950000000000003" customHeight="1" x14ac:dyDescent="0.25">
      <c r="A62" s="80" t="s">
        <v>527</v>
      </c>
      <c r="B62" s="85" t="s">
        <v>528</v>
      </c>
      <c r="C62" s="49" t="s">
        <v>19</v>
      </c>
      <c r="D62" s="49" t="s">
        <v>520</v>
      </c>
      <c r="E62" s="62" t="s">
        <v>108</v>
      </c>
      <c r="F62" s="62" t="s">
        <v>17</v>
      </c>
      <c r="G62" s="46">
        <v>43132</v>
      </c>
      <c r="H62" s="47">
        <v>43133</v>
      </c>
      <c r="I62" s="49">
        <v>1</v>
      </c>
      <c r="J62" s="62" t="s">
        <v>183</v>
      </c>
      <c r="K62" s="64" t="s">
        <v>555</v>
      </c>
      <c r="L62" s="76" t="s">
        <v>514</v>
      </c>
      <c r="M62" s="81" t="s">
        <v>526</v>
      </c>
      <c r="N62" s="81"/>
      <c r="O62" s="81" t="s">
        <v>1209</v>
      </c>
      <c r="P62" s="81" t="s">
        <v>1209</v>
      </c>
      <c r="Q62" s="50"/>
      <c r="R62" s="78"/>
      <c r="S62" s="79" t="s">
        <v>525</v>
      </c>
      <c r="T62" s="82" t="s">
        <v>60</v>
      </c>
      <c r="U62" s="93" t="s">
        <v>65</v>
      </c>
      <c r="V62" s="40" t="s">
        <v>68</v>
      </c>
      <c r="W62" s="101" t="s">
        <v>529</v>
      </c>
      <c r="X62" s="90" t="s">
        <v>2</v>
      </c>
      <c r="Y62" s="91" t="s">
        <v>79</v>
      </c>
      <c r="Z62" s="92"/>
      <c r="AA62" s="80"/>
      <c r="AB62" s="80"/>
      <c r="AC62" s="80"/>
    </row>
    <row r="63" spans="1:29" ht="39.950000000000003" customHeight="1" x14ac:dyDescent="0.25">
      <c r="A63" s="80" t="s">
        <v>530</v>
      </c>
      <c r="B63" s="85" t="s">
        <v>531</v>
      </c>
      <c r="C63" s="49" t="s">
        <v>19</v>
      </c>
      <c r="D63" s="49" t="s">
        <v>285</v>
      </c>
      <c r="E63" s="62" t="s">
        <v>108</v>
      </c>
      <c r="F63" s="62" t="s">
        <v>17</v>
      </c>
      <c r="G63" s="46">
        <v>43132</v>
      </c>
      <c r="H63" s="47">
        <v>43202</v>
      </c>
      <c r="I63" s="49">
        <v>70</v>
      </c>
      <c r="J63" s="62" t="s">
        <v>183</v>
      </c>
      <c r="K63" s="64" t="s">
        <v>555</v>
      </c>
      <c r="L63" s="76" t="s">
        <v>84</v>
      </c>
      <c r="M63" s="81" t="s">
        <v>85</v>
      </c>
      <c r="N63" s="81"/>
      <c r="O63" s="81"/>
      <c r="P63" s="81"/>
      <c r="Q63" s="50">
        <v>0</v>
      </c>
      <c r="R63" s="78">
        <v>0</v>
      </c>
      <c r="S63" s="79" t="s">
        <v>525</v>
      </c>
      <c r="T63" s="82" t="s">
        <v>60</v>
      </c>
      <c r="U63" s="93" t="s">
        <v>1012</v>
      </c>
      <c r="V63" s="40" t="s">
        <v>285</v>
      </c>
      <c r="W63" s="100" t="s">
        <v>532</v>
      </c>
      <c r="X63" s="90" t="s">
        <v>146</v>
      </c>
      <c r="Y63" s="91" t="s">
        <v>79</v>
      </c>
      <c r="Z63" s="92"/>
      <c r="AA63" s="80"/>
      <c r="AB63" s="80"/>
      <c r="AC63" s="80"/>
    </row>
    <row r="64" spans="1:29" ht="39.950000000000003" customHeight="1" x14ac:dyDescent="0.25">
      <c r="A64" s="80" t="s">
        <v>534</v>
      </c>
      <c r="B64" s="85" t="s">
        <v>535</v>
      </c>
      <c r="C64" s="49" t="s">
        <v>19</v>
      </c>
      <c r="D64" s="49" t="s">
        <v>520</v>
      </c>
      <c r="E64" s="62" t="s">
        <v>137</v>
      </c>
      <c r="F64" s="62"/>
      <c r="G64" s="46">
        <v>43137</v>
      </c>
      <c r="H64" s="47">
        <v>43146</v>
      </c>
      <c r="I64" s="49">
        <v>9</v>
      </c>
      <c r="J64" s="62" t="s">
        <v>184</v>
      </c>
      <c r="K64" s="64" t="s">
        <v>555</v>
      </c>
      <c r="L64" s="76" t="s">
        <v>533</v>
      </c>
      <c r="M64" s="81" t="s">
        <v>75</v>
      </c>
      <c r="N64" s="81"/>
      <c r="O64" s="81"/>
      <c r="P64" s="81"/>
      <c r="Q64" s="50"/>
      <c r="R64" s="78"/>
      <c r="S64" s="79" t="s">
        <v>464</v>
      </c>
      <c r="T64" s="82" t="s">
        <v>59</v>
      </c>
      <c r="U64" s="93" t="s">
        <v>65</v>
      </c>
      <c r="V64" s="40" t="s">
        <v>68</v>
      </c>
      <c r="W64" s="101" t="s">
        <v>590</v>
      </c>
      <c r="X64" s="90" t="s">
        <v>146</v>
      </c>
      <c r="Y64" s="91"/>
      <c r="Z64" s="92"/>
      <c r="AA64" s="80"/>
      <c r="AB64" s="80"/>
      <c r="AC64" s="80"/>
    </row>
    <row r="65" spans="1:29" ht="39.950000000000003" customHeight="1" x14ac:dyDescent="0.25">
      <c r="A65" s="80" t="s">
        <v>539</v>
      </c>
      <c r="B65" s="86" t="s">
        <v>540</v>
      </c>
      <c r="C65" s="49" t="s">
        <v>19</v>
      </c>
      <c r="D65" s="49" t="s">
        <v>520</v>
      </c>
      <c r="E65" s="62" t="s">
        <v>136</v>
      </c>
      <c r="F65" s="62"/>
      <c r="G65" s="46">
        <v>43137</v>
      </c>
      <c r="H65" s="47">
        <v>43146</v>
      </c>
      <c r="I65" s="49">
        <v>9</v>
      </c>
      <c r="J65" s="62" t="s">
        <v>538</v>
      </c>
      <c r="K65" s="64" t="s">
        <v>554</v>
      </c>
      <c r="L65" s="76" t="s">
        <v>536</v>
      </c>
      <c r="M65" s="81" t="s">
        <v>537</v>
      </c>
      <c r="N65" s="81"/>
      <c r="O65" s="81"/>
      <c r="P65" s="81"/>
      <c r="Q65" s="50"/>
      <c r="R65" s="78"/>
      <c r="S65" s="79" t="s">
        <v>464</v>
      </c>
      <c r="T65" s="82" t="s">
        <v>59</v>
      </c>
      <c r="U65" s="93" t="s">
        <v>63</v>
      </c>
      <c r="V65" s="40" t="s">
        <v>68</v>
      </c>
      <c r="W65" s="101" t="s">
        <v>591</v>
      </c>
      <c r="X65" s="90" t="s">
        <v>146</v>
      </c>
      <c r="Y65" s="91"/>
      <c r="Z65" s="92"/>
      <c r="AA65" s="80"/>
      <c r="AB65" s="80"/>
      <c r="AC65" s="80"/>
    </row>
    <row r="66" spans="1:29" ht="39.950000000000003" customHeight="1" x14ac:dyDescent="0.25">
      <c r="A66" s="80" t="s">
        <v>544</v>
      </c>
      <c r="B66" s="85" t="s">
        <v>545</v>
      </c>
      <c r="C66" s="49" t="s">
        <v>19</v>
      </c>
      <c r="D66" s="49" t="s">
        <v>285</v>
      </c>
      <c r="E66" s="62" t="s">
        <v>441</v>
      </c>
      <c r="F66" s="62"/>
      <c r="G66" s="46">
        <v>43137</v>
      </c>
      <c r="H66" s="47">
        <v>43243</v>
      </c>
      <c r="I66" s="49">
        <v>106</v>
      </c>
      <c r="J66" s="62" t="s">
        <v>543</v>
      </c>
      <c r="K66" s="64" t="s">
        <v>554</v>
      </c>
      <c r="L66" s="76" t="s">
        <v>542</v>
      </c>
      <c r="M66" s="81" t="s">
        <v>437</v>
      </c>
      <c r="N66" s="81"/>
      <c r="O66" s="81"/>
      <c r="P66" s="81"/>
      <c r="Q66" s="50"/>
      <c r="R66" s="78"/>
      <c r="S66" s="79" t="s">
        <v>582</v>
      </c>
      <c r="T66" s="82" t="s">
        <v>59</v>
      </c>
      <c r="U66" s="93" t="s">
        <v>65</v>
      </c>
      <c r="V66" s="40" t="s">
        <v>69</v>
      </c>
      <c r="W66" s="101" t="s">
        <v>546</v>
      </c>
      <c r="X66" s="90" t="s">
        <v>146</v>
      </c>
      <c r="Y66" s="91"/>
      <c r="Z66" s="92"/>
      <c r="AA66" s="80"/>
      <c r="AB66" s="80"/>
      <c r="AC66" s="80"/>
    </row>
    <row r="67" spans="1:29" ht="39.950000000000003" customHeight="1" x14ac:dyDescent="0.25">
      <c r="A67" s="80" t="s">
        <v>548</v>
      </c>
      <c r="B67" s="86" t="s">
        <v>549</v>
      </c>
      <c r="C67" s="49" t="s">
        <v>19</v>
      </c>
      <c r="D67" s="49" t="s">
        <v>520</v>
      </c>
      <c r="E67" s="62" t="s">
        <v>441</v>
      </c>
      <c r="F67" s="62"/>
      <c r="G67" s="46">
        <v>43138</v>
      </c>
      <c r="H67" s="47">
        <v>43138</v>
      </c>
      <c r="I67" s="49">
        <v>0</v>
      </c>
      <c r="J67" s="62" t="s">
        <v>547</v>
      </c>
      <c r="K67" s="64" t="s">
        <v>554</v>
      </c>
      <c r="L67" s="76" t="s">
        <v>430</v>
      </c>
      <c r="M67" s="81" t="s">
        <v>433</v>
      </c>
      <c r="N67" s="81"/>
      <c r="O67" s="81" t="s">
        <v>1209</v>
      </c>
      <c r="P67" s="81" t="s">
        <v>1209</v>
      </c>
      <c r="Q67" s="50"/>
      <c r="R67" s="78"/>
      <c r="S67" s="79" t="s">
        <v>508</v>
      </c>
      <c r="T67" s="82" t="s">
        <v>59</v>
      </c>
      <c r="U67" s="93" t="s">
        <v>1653</v>
      </c>
      <c r="V67" s="40" t="s">
        <v>993</v>
      </c>
      <c r="W67" s="101" t="s">
        <v>550</v>
      </c>
      <c r="X67" s="90" t="s">
        <v>146</v>
      </c>
      <c r="Y67" s="91"/>
      <c r="Z67" s="92"/>
      <c r="AA67" s="80"/>
      <c r="AB67" s="80"/>
      <c r="AC67" s="80"/>
    </row>
    <row r="68" spans="1:29" ht="39.950000000000003" customHeight="1" x14ac:dyDescent="0.25">
      <c r="A68" s="80" t="s">
        <v>551</v>
      </c>
      <c r="B68" s="85" t="s">
        <v>553</v>
      </c>
      <c r="C68" s="49" t="s">
        <v>19</v>
      </c>
      <c r="D68" s="49" t="s">
        <v>520</v>
      </c>
      <c r="E68" s="62" t="s">
        <v>552</v>
      </c>
      <c r="F68" s="62" t="s">
        <v>17</v>
      </c>
      <c r="G68" s="46">
        <v>43139</v>
      </c>
      <c r="H68" s="47">
        <v>43147</v>
      </c>
      <c r="I68" s="49">
        <v>8</v>
      </c>
      <c r="J68" s="62" t="s">
        <v>181</v>
      </c>
      <c r="K68" s="64" t="s">
        <v>555</v>
      </c>
      <c r="L68" s="76" t="s">
        <v>84</v>
      </c>
      <c r="M68" s="81" t="s">
        <v>85</v>
      </c>
      <c r="N68" s="81"/>
      <c r="O68" s="81"/>
      <c r="P68" s="81"/>
      <c r="Q68" s="50">
        <v>0</v>
      </c>
      <c r="R68" s="78">
        <v>0</v>
      </c>
      <c r="S68" s="79" t="s">
        <v>525</v>
      </c>
      <c r="T68" s="82" t="s">
        <v>60</v>
      </c>
      <c r="U68" s="93" t="s">
        <v>1012</v>
      </c>
      <c r="V68" s="40" t="s">
        <v>991</v>
      </c>
      <c r="W68" s="101" t="s">
        <v>598</v>
      </c>
      <c r="X68" s="90" t="s">
        <v>2</v>
      </c>
      <c r="Y68" s="91" t="s">
        <v>79</v>
      </c>
      <c r="Z68" s="92"/>
      <c r="AA68" s="80"/>
      <c r="AB68" s="80"/>
      <c r="AC68" s="80"/>
    </row>
    <row r="69" spans="1:29" ht="39.950000000000003" customHeight="1" x14ac:dyDescent="0.25">
      <c r="A69" s="80" t="s">
        <v>562</v>
      </c>
      <c r="B69" s="85" t="s">
        <v>563</v>
      </c>
      <c r="C69" s="49" t="s">
        <v>19</v>
      </c>
      <c r="D69" s="49" t="s">
        <v>468</v>
      </c>
      <c r="E69" s="62" t="s">
        <v>136</v>
      </c>
      <c r="F69" s="62" t="s">
        <v>17</v>
      </c>
      <c r="G69" s="46">
        <v>43140</v>
      </c>
      <c r="H69" s="47">
        <v>43164</v>
      </c>
      <c r="I69" s="49">
        <v>24</v>
      </c>
      <c r="J69" s="62" t="s">
        <v>175</v>
      </c>
      <c r="K69" s="64" t="s">
        <v>554</v>
      </c>
      <c r="L69" s="76" t="s">
        <v>560</v>
      </c>
      <c r="M69" s="81" t="s">
        <v>561</v>
      </c>
      <c r="N69" s="81"/>
      <c r="O69" s="81" t="s">
        <v>1209</v>
      </c>
      <c r="P69" s="81" t="s">
        <v>1209</v>
      </c>
      <c r="Q69" s="50"/>
      <c r="R69" s="78"/>
      <c r="S69" s="79" t="s">
        <v>441</v>
      </c>
      <c r="T69" s="82" t="s">
        <v>1022</v>
      </c>
      <c r="U69" s="93" t="s">
        <v>1007</v>
      </c>
      <c r="V69" s="40" t="s">
        <v>993</v>
      </c>
      <c r="W69" s="101" t="s">
        <v>654</v>
      </c>
      <c r="X69" s="90" t="s">
        <v>146</v>
      </c>
      <c r="Y69" s="91" t="s">
        <v>79</v>
      </c>
      <c r="Z69" s="92"/>
      <c r="AA69" s="80"/>
      <c r="AB69" s="80"/>
      <c r="AC69" s="80"/>
    </row>
    <row r="70" spans="1:29" ht="39.950000000000003" customHeight="1" x14ac:dyDescent="0.25">
      <c r="A70" s="80" t="s">
        <v>564</v>
      </c>
      <c r="B70" s="86" t="s">
        <v>565</v>
      </c>
      <c r="C70" s="49" t="s">
        <v>19</v>
      </c>
      <c r="D70" s="49" t="s">
        <v>468</v>
      </c>
      <c r="E70" s="62" t="s">
        <v>134</v>
      </c>
      <c r="F70" s="62"/>
      <c r="G70" s="46">
        <v>43140</v>
      </c>
      <c r="H70" s="47">
        <v>43146</v>
      </c>
      <c r="I70" s="49">
        <v>6</v>
      </c>
      <c r="J70" s="62" t="s">
        <v>181</v>
      </c>
      <c r="K70" s="64" t="s">
        <v>555</v>
      </c>
      <c r="L70" s="76" t="s">
        <v>105</v>
      </c>
      <c r="M70" s="81" t="s">
        <v>147</v>
      </c>
      <c r="N70" s="81"/>
      <c r="O70" s="81"/>
      <c r="P70" s="81"/>
      <c r="Q70" s="50"/>
      <c r="R70" s="78"/>
      <c r="S70" s="79" t="s">
        <v>566</v>
      </c>
      <c r="T70" s="82" t="s">
        <v>60</v>
      </c>
      <c r="U70" s="93" t="s">
        <v>64</v>
      </c>
      <c r="V70" s="40" t="s">
        <v>68</v>
      </c>
      <c r="W70" s="101" t="s">
        <v>593</v>
      </c>
      <c r="X70" s="90" t="s">
        <v>1</v>
      </c>
      <c r="Y70" s="91"/>
      <c r="Z70" s="92"/>
      <c r="AA70" s="80"/>
      <c r="AB70" s="80"/>
      <c r="AC70" s="80"/>
    </row>
    <row r="71" spans="1:29" ht="39.950000000000003" customHeight="1" x14ac:dyDescent="0.25">
      <c r="A71" s="80" t="s">
        <v>568</v>
      </c>
      <c r="B71" s="86" t="s">
        <v>569</v>
      </c>
      <c r="C71" s="49" t="s">
        <v>19</v>
      </c>
      <c r="D71" s="49" t="s">
        <v>468</v>
      </c>
      <c r="E71" s="62" t="s">
        <v>16</v>
      </c>
      <c r="F71" s="62"/>
      <c r="G71" s="46">
        <v>43143</v>
      </c>
      <c r="H71" s="47">
        <v>43243</v>
      </c>
      <c r="I71" s="49">
        <v>100</v>
      </c>
      <c r="J71" s="62" t="s">
        <v>172</v>
      </c>
      <c r="K71" s="64" t="s">
        <v>554</v>
      </c>
      <c r="L71" s="76" t="s">
        <v>567</v>
      </c>
      <c r="M71" s="81" t="s">
        <v>570</v>
      </c>
      <c r="N71" s="81"/>
      <c r="O71" s="81"/>
      <c r="P71" s="81"/>
      <c r="Q71" s="50"/>
      <c r="R71" s="78"/>
      <c r="S71" s="79" t="s">
        <v>582</v>
      </c>
      <c r="T71" s="82" t="s">
        <v>285</v>
      </c>
      <c r="U71" s="93" t="s">
        <v>62</v>
      </c>
      <c r="V71" s="40" t="s">
        <v>67</v>
      </c>
      <c r="W71" s="101" t="s">
        <v>788</v>
      </c>
      <c r="X71" s="90" t="s">
        <v>2</v>
      </c>
      <c r="Y71" s="91"/>
      <c r="Z71" s="92"/>
      <c r="AA71" s="80"/>
      <c r="AB71" s="80"/>
      <c r="AC71" s="80"/>
    </row>
    <row r="72" spans="1:29" ht="39.950000000000003" customHeight="1" x14ac:dyDescent="0.25">
      <c r="A72" s="80" t="s">
        <v>571</v>
      </c>
      <c r="B72" s="85" t="s">
        <v>572</v>
      </c>
      <c r="C72" s="49" t="s">
        <v>19</v>
      </c>
      <c r="D72" s="49" t="s">
        <v>520</v>
      </c>
      <c r="E72" s="62" t="s">
        <v>108</v>
      </c>
      <c r="F72" s="62" t="s">
        <v>17</v>
      </c>
      <c r="G72" s="46">
        <v>43143</v>
      </c>
      <c r="H72" s="47">
        <v>43144</v>
      </c>
      <c r="I72" s="49">
        <v>1</v>
      </c>
      <c r="J72" s="62" t="s">
        <v>182</v>
      </c>
      <c r="K72" s="64" t="s">
        <v>555</v>
      </c>
      <c r="L72" s="76" t="s">
        <v>84</v>
      </c>
      <c r="M72" s="81" t="s">
        <v>85</v>
      </c>
      <c r="N72" s="81"/>
      <c r="O72" s="81"/>
      <c r="P72" s="81"/>
      <c r="Q72" s="50">
        <v>0</v>
      </c>
      <c r="R72" s="78">
        <v>0</v>
      </c>
      <c r="S72" s="79" t="s">
        <v>525</v>
      </c>
      <c r="T72" s="82" t="s">
        <v>1021</v>
      </c>
      <c r="U72" s="93" t="s">
        <v>1012</v>
      </c>
      <c r="V72" s="40" t="s">
        <v>1000</v>
      </c>
      <c r="W72" s="100" t="s">
        <v>573</v>
      </c>
      <c r="X72" s="90" t="s">
        <v>1</v>
      </c>
      <c r="Y72" s="91" t="s">
        <v>79</v>
      </c>
      <c r="Z72" s="92"/>
      <c r="AA72" s="80"/>
      <c r="AB72" s="80"/>
      <c r="AC72" s="80"/>
    </row>
    <row r="73" spans="1:29" ht="39.950000000000003" customHeight="1" x14ac:dyDescent="0.25">
      <c r="A73" s="80" t="s">
        <v>574</v>
      </c>
      <c r="B73" s="85" t="s">
        <v>575</v>
      </c>
      <c r="C73" s="49" t="s">
        <v>19</v>
      </c>
      <c r="D73" s="49" t="s">
        <v>458</v>
      </c>
      <c r="E73" s="62" t="s">
        <v>441</v>
      </c>
      <c r="F73" s="62"/>
      <c r="G73" s="46">
        <v>43144</v>
      </c>
      <c r="H73" s="47">
        <v>43146</v>
      </c>
      <c r="I73" s="49">
        <v>2</v>
      </c>
      <c r="J73" s="62" t="s">
        <v>170</v>
      </c>
      <c r="K73" s="64" t="s">
        <v>554</v>
      </c>
      <c r="L73" s="76" t="s">
        <v>459</v>
      </c>
      <c r="M73" s="81" t="s">
        <v>465</v>
      </c>
      <c r="N73" s="81"/>
      <c r="O73" s="81"/>
      <c r="P73" s="81"/>
      <c r="Q73" s="50"/>
      <c r="R73" s="78"/>
      <c r="S73" s="79" t="s">
        <v>441</v>
      </c>
      <c r="T73" s="82"/>
      <c r="U73" s="93"/>
      <c r="V73" s="40" t="s">
        <v>450</v>
      </c>
      <c r="W73" s="101" t="s">
        <v>592</v>
      </c>
      <c r="X73" s="90"/>
      <c r="Y73" s="91"/>
      <c r="Z73" s="92"/>
      <c r="AA73" s="80"/>
      <c r="AB73" s="80"/>
      <c r="AC73" s="80"/>
    </row>
    <row r="74" spans="1:29" ht="39.950000000000003" customHeight="1" x14ac:dyDescent="0.25">
      <c r="A74" s="80" t="s">
        <v>578</v>
      </c>
      <c r="B74" s="85" t="s">
        <v>579</v>
      </c>
      <c r="C74" s="49" t="s">
        <v>19</v>
      </c>
      <c r="D74" s="49" t="s">
        <v>285</v>
      </c>
      <c r="E74" s="62" t="s">
        <v>148</v>
      </c>
      <c r="F74" s="62"/>
      <c r="G74" s="46">
        <v>43145</v>
      </c>
      <c r="H74" s="47">
        <v>43152</v>
      </c>
      <c r="I74" s="49">
        <v>7</v>
      </c>
      <c r="J74" s="62" t="s">
        <v>184</v>
      </c>
      <c r="K74" s="64" t="s">
        <v>555</v>
      </c>
      <c r="L74" s="76" t="s">
        <v>140</v>
      </c>
      <c r="M74" s="81" t="s">
        <v>140</v>
      </c>
      <c r="N74" s="81"/>
      <c r="O74" s="81"/>
      <c r="P74" s="81"/>
      <c r="Q74" s="50"/>
      <c r="R74" s="78"/>
      <c r="S74" s="79" t="s">
        <v>464</v>
      </c>
      <c r="T74" s="82"/>
      <c r="U74" s="93"/>
      <c r="V74" s="103" t="s">
        <v>450</v>
      </c>
      <c r="W74" s="101" t="s">
        <v>621</v>
      </c>
      <c r="X74" s="90"/>
      <c r="Y74" s="91"/>
      <c r="Z74" s="92"/>
      <c r="AA74" s="80"/>
      <c r="AB74" s="80"/>
      <c r="AC74" s="80"/>
    </row>
    <row r="75" spans="1:29" ht="39.950000000000003" customHeight="1" x14ac:dyDescent="0.25">
      <c r="A75" s="80" t="s">
        <v>580</v>
      </c>
      <c r="B75" s="85" t="s">
        <v>581</v>
      </c>
      <c r="C75" s="49" t="s">
        <v>19</v>
      </c>
      <c r="D75" s="49" t="s">
        <v>468</v>
      </c>
      <c r="E75" s="62" t="s">
        <v>15</v>
      </c>
      <c r="F75" s="62" t="s">
        <v>17</v>
      </c>
      <c r="G75" s="46">
        <v>43144</v>
      </c>
      <c r="H75" s="47">
        <v>43292</v>
      </c>
      <c r="I75" s="49">
        <v>148</v>
      </c>
      <c r="J75" s="62" t="s">
        <v>161</v>
      </c>
      <c r="K75" s="64" t="s">
        <v>554</v>
      </c>
      <c r="L75" s="76" t="s">
        <v>461</v>
      </c>
      <c r="M75" s="81" t="s">
        <v>465</v>
      </c>
      <c r="N75" s="81"/>
      <c r="O75" s="81" t="s">
        <v>79</v>
      </c>
      <c r="P75" s="81" t="s">
        <v>79</v>
      </c>
      <c r="Q75" s="50">
        <v>0</v>
      </c>
      <c r="R75" s="78">
        <v>0</v>
      </c>
      <c r="S75" s="79" t="s">
        <v>341</v>
      </c>
      <c r="T75" s="82" t="s">
        <v>1021</v>
      </c>
      <c r="U75" s="93" t="s">
        <v>1016</v>
      </c>
      <c r="V75" s="103" t="s">
        <v>1000</v>
      </c>
      <c r="W75" s="100" t="s">
        <v>1556</v>
      </c>
      <c r="X75" s="90" t="s">
        <v>1</v>
      </c>
      <c r="Y75" s="91" t="s">
        <v>79</v>
      </c>
      <c r="Z75" s="92"/>
      <c r="AA75" s="80"/>
      <c r="AB75" s="80"/>
      <c r="AC75" s="80"/>
    </row>
    <row r="76" spans="1:29" ht="39.950000000000003" customHeight="1" x14ac:dyDescent="0.25">
      <c r="A76" s="80" t="s">
        <v>595</v>
      </c>
      <c r="B76" s="86" t="s">
        <v>596</v>
      </c>
      <c r="C76" s="49" t="s">
        <v>19</v>
      </c>
      <c r="D76" s="49" t="s">
        <v>520</v>
      </c>
      <c r="E76" s="62" t="s">
        <v>136</v>
      </c>
      <c r="F76" s="62"/>
      <c r="G76" s="46">
        <v>43146</v>
      </c>
      <c r="H76" s="47">
        <v>43147</v>
      </c>
      <c r="I76" s="49">
        <v>1</v>
      </c>
      <c r="J76" s="62" t="s">
        <v>174</v>
      </c>
      <c r="K76" s="64" t="s">
        <v>554</v>
      </c>
      <c r="L76" s="76" t="s">
        <v>567</v>
      </c>
      <c r="M76" s="81" t="s">
        <v>339</v>
      </c>
      <c r="N76" s="81"/>
      <c r="O76" s="81"/>
      <c r="P76" s="81"/>
      <c r="Q76" s="50"/>
      <c r="R76" s="78"/>
      <c r="S76" s="79" t="s">
        <v>464</v>
      </c>
      <c r="T76" s="82" t="s">
        <v>59</v>
      </c>
      <c r="U76" s="93" t="s">
        <v>62</v>
      </c>
      <c r="V76" s="103" t="s">
        <v>597</v>
      </c>
      <c r="W76" s="101" t="s">
        <v>606</v>
      </c>
      <c r="X76" s="90" t="s">
        <v>1</v>
      </c>
      <c r="Y76" s="91"/>
      <c r="Z76" s="92"/>
      <c r="AA76" s="80"/>
      <c r="AB76" s="80"/>
      <c r="AC76" s="80"/>
    </row>
    <row r="77" spans="1:29" ht="39.950000000000003" customHeight="1" x14ac:dyDescent="0.25">
      <c r="A77" s="80" t="s">
        <v>599</v>
      </c>
      <c r="B77" s="85" t="s">
        <v>600</v>
      </c>
      <c r="C77" s="49" t="s">
        <v>19</v>
      </c>
      <c r="D77" s="49" t="s">
        <v>468</v>
      </c>
      <c r="E77" s="62" t="s">
        <v>582</v>
      </c>
      <c r="F77" s="62" t="s">
        <v>17</v>
      </c>
      <c r="G77" s="46">
        <v>43147</v>
      </c>
      <c r="H77" s="47">
        <v>43353</v>
      </c>
      <c r="I77" s="49">
        <v>206</v>
      </c>
      <c r="J77" s="62" t="s">
        <v>179</v>
      </c>
      <c r="K77" s="64" t="s">
        <v>555</v>
      </c>
      <c r="L77" s="76" t="s">
        <v>84</v>
      </c>
      <c r="M77" s="81" t="s">
        <v>85</v>
      </c>
      <c r="N77" s="81"/>
      <c r="O77" s="81"/>
      <c r="P77" s="81"/>
      <c r="Q77" s="50">
        <v>0</v>
      </c>
      <c r="R77" s="78">
        <v>0</v>
      </c>
      <c r="S77" s="79" t="s">
        <v>525</v>
      </c>
      <c r="T77" s="82" t="s">
        <v>60</v>
      </c>
      <c r="U77" s="93" t="s">
        <v>1012</v>
      </c>
      <c r="V77" s="103" t="s">
        <v>989</v>
      </c>
      <c r="W77" s="101" t="s">
        <v>601</v>
      </c>
      <c r="X77" s="90" t="s">
        <v>952</v>
      </c>
      <c r="Y77" s="91" t="s">
        <v>79</v>
      </c>
      <c r="Z77" s="92"/>
      <c r="AA77" s="80"/>
      <c r="AB77" s="80"/>
      <c r="AC77" s="80"/>
    </row>
    <row r="78" spans="1:29" ht="39.950000000000003" customHeight="1" x14ac:dyDescent="0.25">
      <c r="A78" s="80" t="s">
        <v>603</v>
      </c>
      <c r="B78" s="86" t="s">
        <v>604</v>
      </c>
      <c r="C78" s="49" t="s">
        <v>19</v>
      </c>
      <c r="D78" s="49" t="s">
        <v>468</v>
      </c>
      <c r="E78" s="62" t="s">
        <v>441</v>
      </c>
      <c r="F78" s="62" t="s">
        <v>17</v>
      </c>
      <c r="G78" s="46">
        <v>43147</v>
      </c>
      <c r="H78" s="47">
        <v>43216</v>
      </c>
      <c r="I78" s="49">
        <v>69</v>
      </c>
      <c r="J78" s="62" t="s">
        <v>170</v>
      </c>
      <c r="K78" s="64" t="s">
        <v>554</v>
      </c>
      <c r="L78" s="76" t="s">
        <v>459</v>
      </c>
      <c r="M78" s="81" t="s">
        <v>465</v>
      </c>
      <c r="N78" s="81"/>
      <c r="O78" s="81" t="s">
        <v>1209</v>
      </c>
      <c r="P78" s="81" t="s">
        <v>1209</v>
      </c>
      <c r="Q78" s="50"/>
      <c r="R78" s="78"/>
      <c r="S78" s="79" t="s">
        <v>341</v>
      </c>
      <c r="T78" s="82" t="s">
        <v>1021</v>
      </c>
      <c r="U78" s="93" t="s">
        <v>1549</v>
      </c>
      <c r="V78" s="103" t="s">
        <v>1550</v>
      </c>
      <c r="W78" s="101" t="s">
        <v>1557</v>
      </c>
      <c r="X78" s="90" t="s">
        <v>602</v>
      </c>
      <c r="Y78" s="91" t="s">
        <v>79</v>
      </c>
      <c r="Z78" s="92"/>
      <c r="AA78" s="80"/>
      <c r="AB78" s="80"/>
      <c r="AC78" s="80"/>
    </row>
    <row r="79" spans="1:29" ht="39.950000000000003" customHeight="1" x14ac:dyDescent="0.25">
      <c r="A79" s="80" t="s">
        <v>607</v>
      </c>
      <c r="B79" s="86" t="s">
        <v>610</v>
      </c>
      <c r="C79" s="49" t="s">
        <v>19</v>
      </c>
      <c r="D79" s="49" t="s">
        <v>285</v>
      </c>
      <c r="E79" s="62" t="s">
        <v>16</v>
      </c>
      <c r="F79" s="62"/>
      <c r="G79" s="46">
        <v>43147</v>
      </c>
      <c r="H79" s="47">
        <v>43154</v>
      </c>
      <c r="I79" s="49">
        <v>7</v>
      </c>
      <c r="J79" s="62" t="s">
        <v>162</v>
      </c>
      <c r="K79" s="64" t="s">
        <v>554</v>
      </c>
      <c r="L79" s="76" t="s">
        <v>421</v>
      </c>
      <c r="M79" s="81" t="s">
        <v>85</v>
      </c>
      <c r="N79" s="81"/>
      <c r="O79" s="81"/>
      <c r="P79" s="81"/>
      <c r="Q79" s="50"/>
      <c r="R79" s="78"/>
      <c r="S79" s="79" t="s">
        <v>16</v>
      </c>
      <c r="T79" s="82" t="s">
        <v>78</v>
      </c>
      <c r="U79" s="93" t="s">
        <v>65</v>
      </c>
      <c r="V79" s="103" t="s">
        <v>311</v>
      </c>
      <c r="W79" s="101" t="s">
        <v>628</v>
      </c>
      <c r="X79" s="90" t="s">
        <v>1</v>
      </c>
      <c r="Y79" s="91"/>
      <c r="Z79" s="92"/>
      <c r="AA79" s="80"/>
      <c r="AB79" s="80"/>
      <c r="AC79" s="80"/>
    </row>
    <row r="80" spans="1:29" ht="39.950000000000003" customHeight="1" x14ac:dyDescent="0.25">
      <c r="A80" s="80" t="s">
        <v>608</v>
      </c>
      <c r="B80" s="86" t="s">
        <v>609</v>
      </c>
      <c r="C80" s="49" t="s">
        <v>19</v>
      </c>
      <c r="D80" s="49" t="s">
        <v>285</v>
      </c>
      <c r="E80" s="62" t="s">
        <v>16</v>
      </c>
      <c r="F80" s="62"/>
      <c r="G80" s="46">
        <v>43147</v>
      </c>
      <c r="H80" s="47">
        <v>43154</v>
      </c>
      <c r="I80" s="49">
        <v>7</v>
      </c>
      <c r="J80" s="62" t="s">
        <v>162</v>
      </c>
      <c r="K80" s="64" t="s">
        <v>554</v>
      </c>
      <c r="L80" s="76" t="s">
        <v>421</v>
      </c>
      <c r="M80" s="81" t="s">
        <v>85</v>
      </c>
      <c r="N80" s="81"/>
      <c r="O80" s="81"/>
      <c r="P80" s="81"/>
      <c r="Q80" s="50"/>
      <c r="R80" s="78"/>
      <c r="S80" s="79" t="s">
        <v>16</v>
      </c>
      <c r="T80" s="82" t="s">
        <v>60</v>
      </c>
      <c r="U80" s="93" t="s">
        <v>65</v>
      </c>
      <c r="V80" s="103" t="s">
        <v>311</v>
      </c>
      <c r="W80" s="101" t="s">
        <v>629</v>
      </c>
      <c r="X80" s="90" t="s">
        <v>1</v>
      </c>
      <c r="Y80" s="91"/>
      <c r="Z80" s="92"/>
      <c r="AA80" s="80"/>
      <c r="AB80" s="80"/>
      <c r="AC80" s="80"/>
    </row>
    <row r="81" spans="1:29" ht="39.950000000000003" customHeight="1" x14ac:dyDescent="0.25">
      <c r="A81" s="80" t="s">
        <v>612</v>
      </c>
      <c r="B81" s="85" t="s">
        <v>613</v>
      </c>
      <c r="C81" s="49" t="s">
        <v>19</v>
      </c>
      <c r="D81" s="49" t="s">
        <v>468</v>
      </c>
      <c r="E81" s="62" t="s">
        <v>611</v>
      </c>
      <c r="F81" s="62" t="s">
        <v>17</v>
      </c>
      <c r="G81" s="46">
        <v>43150</v>
      </c>
      <c r="H81" s="47">
        <v>43216</v>
      </c>
      <c r="I81" s="49">
        <v>66</v>
      </c>
      <c r="J81" s="62" t="s">
        <v>174</v>
      </c>
      <c r="K81" s="64" t="s">
        <v>554</v>
      </c>
      <c r="L81" s="76" t="s">
        <v>461</v>
      </c>
      <c r="M81" s="81" t="s">
        <v>465</v>
      </c>
      <c r="N81" s="81"/>
      <c r="O81" s="81" t="s">
        <v>79</v>
      </c>
      <c r="P81" s="81" t="s">
        <v>79</v>
      </c>
      <c r="Q81" s="50"/>
      <c r="R81" s="78"/>
      <c r="S81" s="79" t="s">
        <v>341</v>
      </c>
      <c r="T81" s="82" t="s">
        <v>1022</v>
      </c>
      <c r="U81" s="93" t="s">
        <v>1554</v>
      </c>
      <c r="V81" s="103" t="s">
        <v>1000</v>
      </c>
      <c r="W81" s="101" t="s">
        <v>1558</v>
      </c>
      <c r="X81" s="90" t="s">
        <v>1</v>
      </c>
      <c r="Y81" s="91" t="s">
        <v>79</v>
      </c>
      <c r="Z81" s="92"/>
      <c r="AA81" s="80"/>
      <c r="AB81" s="80"/>
      <c r="AC81" s="80"/>
    </row>
    <row r="82" spans="1:29" ht="39.950000000000003" customHeight="1" x14ac:dyDescent="0.25">
      <c r="A82" s="80" t="s">
        <v>614</v>
      </c>
      <c r="B82" s="85" t="s">
        <v>615</v>
      </c>
      <c r="C82" s="49" t="s">
        <v>19</v>
      </c>
      <c r="D82" s="49" t="s">
        <v>520</v>
      </c>
      <c r="E82" s="62" t="s">
        <v>108</v>
      </c>
      <c r="F82" s="62" t="s">
        <v>17</v>
      </c>
      <c r="G82" s="46">
        <v>43148</v>
      </c>
      <c r="H82" s="47">
        <v>43151</v>
      </c>
      <c r="I82" s="49">
        <v>3</v>
      </c>
      <c r="J82" s="62" t="s">
        <v>182</v>
      </c>
      <c r="K82" s="64" t="s">
        <v>555</v>
      </c>
      <c r="L82" s="76" t="s">
        <v>84</v>
      </c>
      <c r="M82" s="81" t="s">
        <v>85</v>
      </c>
      <c r="N82" s="81"/>
      <c r="O82" s="81"/>
      <c r="P82" s="81"/>
      <c r="Q82" s="50">
        <v>0</v>
      </c>
      <c r="R82" s="78">
        <v>0</v>
      </c>
      <c r="S82" s="79" t="s">
        <v>525</v>
      </c>
      <c r="T82" s="82" t="s">
        <v>60</v>
      </c>
      <c r="U82" s="93" t="s">
        <v>1012</v>
      </c>
      <c r="V82" s="103" t="s">
        <v>991</v>
      </c>
      <c r="W82" s="100" t="s">
        <v>616</v>
      </c>
      <c r="X82" s="90" t="s">
        <v>2</v>
      </c>
      <c r="Y82" s="91" t="s">
        <v>79</v>
      </c>
      <c r="Z82" s="92"/>
      <c r="AA82" s="80"/>
      <c r="AB82" s="80"/>
      <c r="AC82" s="80"/>
    </row>
    <row r="83" spans="1:29" ht="39.950000000000003" customHeight="1" x14ac:dyDescent="0.25">
      <c r="A83" s="80" t="s">
        <v>618</v>
      </c>
      <c r="B83" s="85" t="s">
        <v>619</v>
      </c>
      <c r="C83" s="49" t="s">
        <v>19</v>
      </c>
      <c r="D83" s="49" t="s">
        <v>285</v>
      </c>
      <c r="E83" s="62" t="s">
        <v>108</v>
      </c>
      <c r="F83" s="62"/>
      <c r="G83" s="46">
        <v>43151</v>
      </c>
      <c r="H83" s="47">
        <v>43151</v>
      </c>
      <c r="I83" s="49">
        <v>0</v>
      </c>
      <c r="J83" s="62" t="s">
        <v>182</v>
      </c>
      <c r="K83" s="64" t="s">
        <v>555</v>
      </c>
      <c r="L83" s="76" t="s">
        <v>617</v>
      </c>
      <c r="M83" s="81" t="s">
        <v>339</v>
      </c>
      <c r="N83" s="81"/>
      <c r="O83" s="81"/>
      <c r="P83" s="81"/>
      <c r="Q83" s="50"/>
      <c r="R83" s="78"/>
      <c r="S83" s="79" t="s">
        <v>108</v>
      </c>
      <c r="T83" s="82" t="s">
        <v>58</v>
      </c>
      <c r="U83" s="93" t="s">
        <v>62</v>
      </c>
      <c r="V83" s="103" t="s">
        <v>70</v>
      </c>
      <c r="W83" s="100" t="s">
        <v>620</v>
      </c>
      <c r="X83" s="90" t="s">
        <v>1</v>
      </c>
      <c r="Y83" s="91"/>
      <c r="Z83" s="92"/>
      <c r="AA83" s="80"/>
      <c r="AB83" s="80"/>
      <c r="AC83" s="80"/>
    </row>
    <row r="84" spans="1:29" ht="39.950000000000003" customHeight="1" x14ac:dyDescent="0.25">
      <c r="A84" s="80" t="s">
        <v>624</v>
      </c>
      <c r="B84" s="86" t="s">
        <v>625</v>
      </c>
      <c r="C84" s="49" t="s">
        <v>19</v>
      </c>
      <c r="D84" s="49" t="s">
        <v>285</v>
      </c>
      <c r="E84" s="62" t="s">
        <v>14</v>
      </c>
      <c r="F84" s="62"/>
      <c r="G84" s="46">
        <v>43153</v>
      </c>
      <c r="H84" s="47">
        <v>43202</v>
      </c>
      <c r="I84" s="49">
        <v>49</v>
      </c>
      <c r="J84" s="62" t="s">
        <v>622</v>
      </c>
      <c r="K84" s="64" t="s">
        <v>554</v>
      </c>
      <c r="L84" s="76" t="s">
        <v>623</v>
      </c>
      <c r="M84" s="81" t="s">
        <v>623</v>
      </c>
      <c r="N84" s="81"/>
      <c r="O84" s="81"/>
      <c r="P84" s="81"/>
      <c r="Q84" s="50"/>
      <c r="R84" s="78"/>
      <c r="S84" s="79" t="s">
        <v>627</v>
      </c>
      <c r="T84" s="82" t="s">
        <v>60</v>
      </c>
      <c r="U84" s="93" t="s">
        <v>64</v>
      </c>
      <c r="V84" s="103" t="s">
        <v>311</v>
      </c>
      <c r="W84" s="100" t="s">
        <v>626</v>
      </c>
      <c r="X84" s="90"/>
      <c r="Y84" s="91"/>
      <c r="Z84" s="92"/>
      <c r="AA84" s="80"/>
      <c r="AB84" s="80"/>
      <c r="AC84" s="80"/>
    </row>
    <row r="85" spans="1:29" ht="39.950000000000003" customHeight="1" x14ac:dyDescent="0.25">
      <c r="A85" s="80" t="s">
        <v>631</v>
      </c>
      <c r="B85" s="85" t="s">
        <v>632</v>
      </c>
      <c r="C85" s="49" t="s">
        <v>19</v>
      </c>
      <c r="D85" s="49" t="s">
        <v>520</v>
      </c>
      <c r="E85" s="62" t="s">
        <v>630</v>
      </c>
      <c r="F85" s="62"/>
      <c r="G85" s="46">
        <v>43157</v>
      </c>
      <c r="H85" s="47">
        <v>43206</v>
      </c>
      <c r="I85" s="49">
        <v>49</v>
      </c>
      <c r="J85" s="62" t="s">
        <v>182</v>
      </c>
      <c r="K85" s="64" t="s">
        <v>555</v>
      </c>
      <c r="L85" s="76" t="s">
        <v>415</v>
      </c>
      <c r="M85" s="81" t="s">
        <v>339</v>
      </c>
      <c r="N85" s="81"/>
      <c r="O85" s="81"/>
      <c r="P85" s="81"/>
      <c r="Q85" s="50"/>
      <c r="R85" s="78"/>
      <c r="S85" s="79" t="s">
        <v>464</v>
      </c>
      <c r="T85" s="82" t="s">
        <v>285</v>
      </c>
      <c r="U85" s="93" t="s">
        <v>62</v>
      </c>
      <c r="V85" s="103" t="s">
        <v>636</v>
      </c>
      <c r="W85" s="101" t="s">
        <v>746</v>
      </c>
      <c r="X85" s="90" t="s">
        <v>2</v>
      </c>
      <c r="Y85" s="91"/>
      <c r="Z85" s="92"/>
      <c r="AA85" s="80"/>
      <c r="AB85" s="80"/>
      <c r="AC85" s="80"/>
    </row>
    <row r="86" spans="1:29" ht="39.950000000000003" customHeight="1" x14ac:dyDescent="0.25">
      <c r="A86" s="80" t="s">
        <v>633</v>
      </c>
      <c r="B86" s="85" t="s">
        <v>634</v>
      </c>
      <c r="C86" s="49" t="s">
        <v>19</v>
      </c>
      <c r="D86" s="49" t="s">
        <v>285</v>
      </c>
      <c r="E86" s="62" t="s">
        <v>108</v>
      </c>
      <c r="F86" s="62" t="s">
        <v>17</v>
      </c>
      <c r="G86" s="46">
        <v>43157</v>
      </c>
      <c r="H86" s="47">
        <v>43157</v>
      </c>
      <c r="I86" s="49">
        <v>0</v>
      </c>
      <c r="J86" s="62" t="s">
        <v>547</v>
      </c>
      <c r="K86" s="64" t="s">
        <v>1719</v>
      </c>
      <c r="L86" s="76" t="s">
        <v>536</v>
      </c>
      <c r="M86" s="81" t="s">
        <v>537</v>
      </c>
      <c r="N86" s="81"/>
      <c r="O86" s="81" t="s">
        <v>1209</v>
      </c>
      <c r="P86" s="81" t="s">
        <v>1209</v>
      </c>
      <c r="Q86" s="50">
        <v>0</v>
      </c>
      <c r="R86" s="78">
        <v>0</v>
      </c>
      <c r="S86" s="79" t="s">
        <v>464</v>
      </c>
      <c r="T86" s="82" t="s">
        <v>59</v>
      </c>
      <c r="U86" s="93" t="s">
        <v>1720</v>
      </c>
      <c r="V86" s="103" t="s">
        <v>998</v>
      </c>
      <c r="W86" s="101" t="s">
        <v>635</v>
      </c>
      <c r="X86" s="90" t="s">
        <v>2</v>
      </c>
      <c r="Y86" s="91" t="s">
        <v>79</v>
      </c>
      <c r="Z86" s="92"/>
      <c r="AA86" s="80"/>
      <c r="AB86" s="80"/>
      <c r="AC86" s="80"/>
    </row>
    <row r="87" spans="1:29" ht="39.950000000000003" customHeight="1" x14ac:dyDescent="0.25">
      <c r="A87" s="80" t="s">
        <v>637</v>
      </c>
      <c r="B87" s="85" t="s">
        <v>638</v>
      </c>
      <c r="C87" s="49" t="s">
        <v>19</v>
      </c>
      <c r="D87" s="49" t="s">
        <v>468</v>
      </c>
      <c r="E87" s="62" t="s">
        <v>17</v>
      </c>
      <c r="F87" s="62" t="s">
        <v>17</v>
      </c>
      <c r="G87" s="46">
        <v>43157</v>
      </c>
      <c r="H87" s="47">
        <v>43249</v>
      </c>
      <c r="I87" s="49">
        <v>92</v>
      </c>
      <c r="J87" s="62" t="s">
        <v>171</v>
      </c>
      <c r="K87" s="64" t="s">
        <v>554</v>
      </c>
      <c r="L87" s="76" t="s">
        <v>461</v>
      </c>
      <c r="M87" s="81" t="s">
        <v>465</v>
      </c>
      <c r="N87" s="81"/>
      <c r="O87" s="81" t="s">
        <v>79</v>
      </c>
      <c r="P87" s="81" t="s">
        <v>79</v>
      </c>
      <c r="Q87" s="50"/>
      <c r="R87" s="78"/>
      <c r="S87" s="79" t="s">
        <v>341</v>
      </c>
      <c r="T87" s="82" t="s">
        <v>1021</v>
      </c>
      <c r="U87" s="93" t="s">
        <v>1547</v>
      </c>
      <c r="V87" s="103" t="s">
        <v>1552</v>
      </c>
      <c r="W87" s="101" t="s">
        <v>1559</v>
      </c>
      <c r="X87" s="90" t="s">
        <v>1</v>
      </c>
      <c r="Y87" s="91" t="s">
        <v>79</v>
      </c>
      <c r="Z87" s="92"/>
      <c r="AA87" s="80"/>
      <c r="AB87" s="80"/>
      <c r="AC87" s="80"/>
    </row>
    <row r="88" spans="1:29" ht="39.950000000000003" customHeight="1" x14ac:dyDescent="0.25">
      <c r="A88" s="80" t="s">
        <v>640</v>
      </c>
      <c r="B88" s="85" t="s">
        <v>641</v>
      </c>
      <c r="C88" s="49" t="s">
        <v>19</v>
      </c>
      <c r="D88" s="49" t="s">
        <v>520</v>
      </c>
      <c r="E88" s="62" t="s">
        <v>108</v>
      </c>
      <c r="F88" s="62"/>
      <c r="G88" s="46">
        <v>43158</v>
      </c>
      <c r="H88" s="47">
        <v>43159</v>
      </c>
      <c r="I88" s="49">
        <v>1</v>
      </c>
      <c r="J88" s="62" t="s">
        <v>183</v>
      </c>
      <c r="K88" s="64" t="s">
        <v>555</v>
      </c>
      <c r="L88" s="76" t="s">
        <v>639</v>
      </c>
      <c r="M88" s="81" t="s">
        <v>515</v>
      </c>
      <c r="N88" s="81"/>
      <c r="O88" s="81"/>
      <c r="P88" s="81"/>
      <c r="Q88" s="50"/>
      <c r="R88" s="78"/>
      <c r="S88" s="79" t="s">
        <v>464</v>
      </c>
      <c r="T88" s="82" t="s">
        <v>59</v>
      </c>
      <c r="U88" s="93" t="s">
        <v>64</v>
      </c>
      <c r="V88" s="103" t="s">
        <v>285</v>
      </c>
      <c r="W88" s="101" t="s">
        <v>648</v>
      </c>
      <c r="X88" s="90" t="s">
        <v>2</v>
      </c>
      <c r="Y88" s="91"/>
      <c r="Z88" s="92"/>
      <c r="AA88" s="80"/>
      <c r="AB88" s="80"/>
      <c r="AC88" s="80"/>
    </row>
    <row r="89" spans="1:29" ht="39.950000000000003" customHeight="1" x14ac:dyDescent="0.25">
      <c r="A89" s="80" t="s">
        <v>643</v>
      </c>
      <c r="B89" s="85" t="s">
        <v>645</v>
      </c>
      <c r="C89" s="49" t="s">
        <v>19</v>
      </c>
      <c r="D89" s="49" t="s">
        <v>468</v>
      </c>
      <c r="E89" s="62" t="s">
        <v>136</v>
      </c>
      <c r="F89" s="62" t="s">
        <v>774</v>
      </c>
      <c r="G89" s="46">
        <v>43158</v>
      </c>
      <c r="H89" s="47">
        <v>43353</v>
      </c>
      <c r="I89" s="49">
        <v>195</v>
      </c>
      <c r="J89" s="62" t="s">
        <v>171</v>
      </c>
      <c r="K89" s="64" t="s">
        <v>554</v>
      </c>
      <c r="L89" s="76" t="s">
        <v>642</v>
      </c>
      <c r="M89" s="81" t="s">
        <v>74</v>
      </c>
      <c r="N89" s="81" t="s">
        <v>919</v>
      </c>
      <c r="O89" s="81" t="s">
        <v>274</v>
      </c>
      <c r="P89" s="81" t="s">
        <v>644</v>
      </c>
      <c r="Q89" s="50">
        <v>0</v>
      </c>
      <c r="R89" s="78">
        <v>0</v>
      </c>
      <c r="S89" s="79" t="s">
        <v>464</v>
      </c>
      <c r="T89" s="82" t="s">
        <v>1022</v>
      </c>
      <c r="U89" s="93" t="s">
        <v>1015</v>
      </c>
      <c r="V89" s="103" t="s">
        <v>285</v>
      </c>
      <c r="W89" s="101" t="s">
        <v>1227</v>
      </c>
      <c r="X89" s="90" t="s">
        <v>2</v>
      </c>
      <c r="Y89" s="91" t="s">
        <v>79</v>
      </c>
      <c r="Z89" s="92"/>
      <c r="AA89" s="80"/>
      <c r="AB89" s="80"/>
      <c r="AC89" s="80"/>
    </row>
    <row r="90" spans="1:29" ht="39.950000000000003" customHeight="1" x14ac:dyDescent="0.25">
      <c r="A90" s="80" t="s">
        <v>646</v>
      </c>
      <c r="B90" s="85" t="s">
        <v>647</v>
      </c>
      <c r="C90" s="49" t="s">
        <v>19</v>
      </c>
      <c r="D90" s="49" t="s">
        <v>468</v>
      </c>
      <c r="E90" s="62" t="s">
        <v>108</v>
      </c>
      <c r="F90" s="62"/>
      <c r="G90" s="46">
        <v>43159</v>
      </c>
      <c r="H90" s="47">
        <v>43216</v>
      </c>
      <c r="I90" s="49">
        <v>57</v>
      </c>
      <c r="J90" s="62" t="s">
        <v>183</v>
      </c>
      <c r="K90" s="64" t="s">
        <v>555</v>
      </c>
      <c r="L90" s="76" t="s">
        <v>497</v>
      </c>
      <c r="M90" s="81" t="s">
        <v>76</v>
      </c>
      <c r="N90" s="81"/>
      <c r="O90" s="81"/>
      <c r="P90" s="81"/>
      <c r="Q90" s="50"/>
      <c r="R90" s="78"/>
      <c r="S90" s="79" t="s">
        <v>108</v>
      </c>
      <c r="T90" s="82" t="s">
        <v>60</v>
      </c>
      <c r="U90" s="93" t="s">
        <v>65</v>
      </c>
      <c r="V90" s="103" t="s">
        <v>70</v>
      </c>
      <c r="W90" s="101" t="s">
        <v>787</v>
      </c>
      <c r="X90" s="90" t="s">
        <v>2</v>
      </c>
      <c r="Y90" s="91"/>
      <c r="Z90" s="92"/>
      <c r="AA90" s="80"/>
      <c r="AB90" s="80"/>
      <c r="AC90" s="80"/>
    </row>
    <row r="91" spans="1:29" ht="39.950000000000003" customHeight="1" x14ac:dyDescent="0.25">
      <c r="A91" s="80" t="s">
        <v>649</v>
      </c>
      <c r="B91" s="86" t="s">
        <v>1031</v>
      </c>
      <c r="C91" s="49" t="s">
        <v>18</v>
      </c>
      <c r="D91" s="49" t="s">
        <v>520</v>
      </c>
      <c r="E91" s="62" t="s">
        <v>17</v>
      </c>
      <c r="F91" s="62" t="s">
        <v>17</v>
      </c>
      <c r="G91" s="46">
        <v>43159</v>
      </c>
      <c r="H91" s="47"/>
      <c r="I91" s="49">
        <v>335.72</v>
      </c>
      <c r="J91" s="62" t="s">
        <v>393</v>
      </c>
      <c r="K91" s="64" t="s">
        <v>554</v>
      </c>
      <c r="L91" s="76" t="s">
        <v>383</v>
      </c>
      <c r="M91" s="81" t="s">
        <v>923</v>
      </c>
      <c r="N91" s="81"/>
      <c r="O91" s="81" t="s">
        <v>1209</v>
      </c>
      <c r="P91" s="81" t="s">
        <v>1209</v>
      </c>
      <c r="Q91" s="50">
        <v>0</v>
      </c>
      <c r="R91" s="78">
        <v>0</v>
      </c>
      <c r="S91" s="79" t="s">
        <v>464</v>
      </c>
      <c r="T91" s="82" t="s">
        <v>413</v>
      </c>
      <c r="U91" s="93" t="s">
        <v>1007</v>
      </c>
      <c r="V91" s="103" t="s">
        <v>993</v>
      </c>
      <c r="W91" s="100" t="s">
        <v>1032</v>
      </c>
      <c r="X91" s="90" t="s">
        <v>146</v>
      </c>
      <c r="Y91" s="91" t="s">
        <v>79</v>
      </c>
      <c r="Z91" s="92"/>
      <c r="AA91" s="80"/>
      <c r="AB91" s="80"/>
      <c r="AC91" s="80"/>
    </row>
    <row r="92" spans="1:29" ht="39.950000000000003" customHeight="1" x14ac:dyDescent="0.25">
      <c r="A92" s="80" t="s">
        <v>651</v>
      </c>
      <c r="B92" s="85" t="s">
        <v>652</v>
      </c>
      <c r="C92" s="49" t="s">
        <v>19</v>
      </c>
      <c r="D92" s="49" t="s">
        <v>285</v>
      </c>
      <c r="E92" s="62" t="s">
        <v>630</v>
      </c>
      <c r="F92" s="62"/>
      <c r="G92" s="46">
        <v>43160</v>
      </c>
      <c r="H92" s="47">
        <v>43187</v>
      </c>
      <c r="I92" s="49">
        <v>27</v>
      </c>
      <c r="J92" s="62" t="s">
        <v>182</v>
      </c>
      <c r="K92" s="64" t="s">
        <v>555</v>
      </c>
      <c r="L92" s="76" t="s">
        <v>650</v>
      </c>
      <c r="M92" s="81" t="s">
        <v>149</v>
      </c>
      <c r="N92" s="81"/>
      <c r="O92" s="81"/>
      <c r="P92" s="81"/>
      <c r="Q92" s="50"/>
      <c r="R92" s="78"/>
      <c r="S92" s="79" t="s">
        <v>17</v>
      </c>
      <c r="T92" s="82" t="s">
        <v>60</v>
      </c>
      <c r="U92" s="93" t="s">
        <v>63</v>
      </c>
      <c r="V92" s="103" t="s">
        <v>68</v>
      </c>
      <c r="W92" s="101" t="s">
        <v>723</v>
      </c>
      <c r="X92" s="90" t="s">
        <v>4</v>
      </c>
      <c r="Y92" s="91"/>
      <c r="Z92" s="92"/>
      <c r="AA92" s="80"/>
      <c r="AB92" s="80"/>
      <c r="AC92" s="80"/>
    </row>
    <row r="93" spans="1:29" ht="39.950000000000003" customHeight="1" x14ac:dyDescent="0.25">
      <c r="A93" s="80" t="s">
        <v>661</v>
      </c>
      <c r="B93" s="85" t="s">
        <v>663</v>
      </c>
      <c r="C93" s="49" t="s">
        <v>19</v>
      </c>
      <c r="D93" s="49" t="s">
        <v>468</v>
      </c>
      <c r="E93" s="62" t="s">
        <v>662</v>
      </c>
      <c r="F93" s="62" t="s">
        <v>17</v>
      </c>
      <c r="G93" s="46">
        <v>43164</v>
      </c>
      <c r="H93" s="47">
        <v>43208</v>
      </c>
      <c r="I93" s="49">
        <v>44</v>
      </c>
      <c r="J93" s="62" t="s">
        <v>657</v>
      </c>
      <c r="K93" s="64" t="s">
        <v>556</v>
      </c>
      <c r="L93" s="76" t="s">
        <v>1613</v>
      </c>
      <c r="M93" s="81" t="s">
        <v>921</v>
      </c>
      <c r="N93" s="81" t="s">
        <v>1614</v>
      </c>
      <c r="O93" s="81" t="s">
        <v>1615</v>
      </c>
      <c r="P93" s="81" t="s">
        <v>79</v>
      </c>
      <c r="Q93" s="50"/>
      <c r="R93" s="78"/>
      <c r="S93" s="79" t="s">
        <v>582</v>
      </c>
      <c r="T93" s="82" t="s">
        <v>59</v>
      </c>
      <c r="U93" s="93" t="s">
        <v>65</v>
      </c>
      <c r="V93" s="103" t="s">
        <v>68</v>
      </c>
      <c r="W93" s="101" t="s">
        <v>753</v>
      </c>
      <c r="X93" s="90" t="s">
        <v>1</v>
      </c>
      <c r="Y93" s="91" t="s">
        <v>79</v>
      </c>
      <c r="Z93" s="92"/>
      <c r="AA93" s="80"/>
      <c r="AB93" s="80"/>
      <c r="AC93" s="80"/>
    </row>
    <row r="94" spans="1:29" ht="39.950000000000003" customHeight="1" x14ac:dyDescent="0.25">
      <c r="A94" s="80" t="s">
        <v>665</v>
      </c>
      <c r="B94" s="85" t="s">
        <v>666</v>
      </c>
      <c r="C94" s="49" t="s">
        <v>19</v>
      </c>
      <c r="D94" s="49" t="s">
        <v>468</v>
      </c>
      <c r="E94" s="62" t="s">
        <v>12</v>
      </c>
      <c r="F94" s="62" t="s">
        <v>17</v>
      </c>
      <c r="G94" s="46">
        <v>43166</v>
      </c>
      <c r="H94" s="47">
        <v>43202</v>
      </c>
      <c r="I94" s="49">
        <v>36</v>
      </c>
      <c r="J94" s="62" t="s">
        <v>172</v>
      </c>
      <c r="K94" s="64" t="s">
        <v>554</v>
      </c>
      <c r="L94" s="76" t="s">
        <v>30</v>
      </c>
      <c r="M94" s="81" t="s">
        <v>75</v>
      </c>
      <c r="N94" s="81"/>
      <c r="O94" s="81" t="s">
        <v>1209</v>
      </c>
      <c r="P94" s="81" t="s">
        <v>1209</v>
      </c>
      <c r="Q94" s="50"/>
      <c r="R94" s="78"/>
      <c r="S94" s="79" t="s">
        <v>582</v>
      </c>
      <c r="T94" s="82" t="s">
        <v>59</v>
      </c>
      <c r="U94" s="93" t="s">
        <v>65</v>
      </c>
      <c r="V94" s="103" t="s">
        <v>285</v>
      </c>
      <c r="W94" s="101" t="s">
        <v>739</v>
      </c>
      <c r="X94" s="90" t="s">
        <v>2</v>
      </c>
      <c r="Y94" s="91" t="s">
        <v>79</v>
      </c>
      <c r="Z94" s="92"/>
      <c r="AA94" s="80"/>
      <c r="AB94" s="80"/>
      <c r="AC94" s="80"/>
    </row>
    <row r="95" spans="1:29" ht="39.950000000000003" customHeight="1" x14ac:dyDescent="0.25">
      <c r="A95" s="80" t="s">
        <v>667</v>
      </c>
      <c r="B95" s="85" t="s">
        <v>668</v>
      </c>
      <c r="C95" s="49" t="s">
        <v>19</v>
      </c>
      <c r="D95" s="49" t="s">
        <v>285</v>
      </c>
      <c r="E95" s="62" t="s">
        <v>136</v>
      </c>
      <c r="F95" s="62"/>
      <c r="G95" s="46">
        <v>43172</v>
      </c>
      <c r="H95" s="47">
        <v>43172</v>
      </c>
      <c r="I95" s="49">
        <v>0</v>
      </c>
      <c r="J95" s="62" t="s">
        <v>176</v>
      </c>
      <c r="K95" s="64" t="s">
        <v>554</v>
      </c>
      <c r="L95" s="76" t="s">
        <v>326</v>
      </c>
      <c r="M95" s="81" t="s">
        <v>325</v>
      </c>
      <c r="N95" s="81"/>
      <c r="O95" s="81"/>
      <c r="P95" s="81"/>
      <c r="Q95" s="50"/>
      <c r="R95" s="78"/>
      <c r="S95" s="79" t="s">
        <v>464</v>
      </c>
      <c r="T95" s="82" t="s">
        <v>59</v>
      </c>
      <c r="U95" s="93" t="s">
        <v>62</v>
      </c>
      <c r="V95" s="103" t="s">
        <v>68</v>
      </c>
      <c r="W95" s="101" t="s">
        <v>675</v>
      </c>
      <c r="X95" s="90" t="s">
        <v>146</v>
      </c>
      <c r="Y95" s="91"/>
      <c r="Z95" s="92"/>
      <c r="AA95" s="80"/>
      <c r="AB95" s="80"/>
      <c r="AC95" s="80"/>
    </row>
    <row r="96" spans="1:29" ht="39.950000000000003" customHeight="1" x14ac:dyDescent="0.25">
      <c r="A96" s="80" t="s">
        <v>670</v>
      </c>
      <c r="B96" s="85" t="s">
        <v>671</v>
      </c>
      <c r="C96" s="49" t="s">
        <v>18</v>
      </c>
      <c r="D96" s="49" t="s">
        <v>468</v>
      </c>
      <c r="E96" s="62" t="s">
        <v>136</v>
      </c>
      <c r="F96" s="62" t="s">
        <v>17</v>
      </c>
      <c r="G96" s="46">
        <v>43172</v>
      </c>
      <c r="H96" s="47"/>
      <c r="I96" s="49">
        <v>322.72000000000003</v>
      </c>
      <c r="J96" s="62" t="s">
        <v>171</v>
      </c>
      <c r="K96" s="64" t="s">
        <v>554</v>
      </c>
      <c r="L96" s="76" t="s">
        <v>669</v>
      </c>
      <c r="M96" s="81" t="s">
        <v>672</v>
      </c>
      <c r="N96" s="81" t="s">
        <v>915</v>
      </c>
      <c r="O96" s="81" t="s">
        <v>917</v>
      </c>
      <c r="P96" s="81"/>
      <c r="Q96" s="50">
        <v>0</v>
      </c>
      <c r="R96" s="78">
        <v>0</v>
      </c>
      <c r="S96" s="79" t="s">
        <v>464</v>
      </c>
      <c r="T96" s="82" t="s">
        <v>59</v>
      </c>
      <c r="U96" s="93" t="s">
        <v>1012</v>
      </c>
      <c r="V96" s="103" t="s">
        <v>991</v>
      </c>
      <c r="W96" s="100" t="s">
        <v>1041</v>
      </c>
      <c r="X96" s="90" t="s">
        <v>602</v>
      </c>
      <c r="Y96" s="91" t="s">
        <v>79</v>
      </c>
      <c r="Z96" s="92"/>
      <c r="AA96" s="80"/>
      <c r="AB96" s="80"/>
      <c r="AC96" s="80"/>
    </row>
    <row r="97" spans="1:29" ht="39.950000000000003" customHeight="1" x14ac:dyDescent="0.25">
      <c r="A97" s="80" t="s">
        <v>673</v>
      </c>
      <c r="B97" s="85" t="s">
        <v>674</v>
      </c>
      <c r="C97" s="49" t="s">
        <v>19</v>
      </c>
      <c r="D97" s="49" t="s">
        <v>468</v>
      </c>
      <c r="E97" s="62" t="s">
        <v>136</v>
      </c>
      <c r="F97" s="62" t="s">
        <v>17</v>
      </c>
      <c r="G97" s="46">
        <v>43172</v>
      </c>
      <c r="H97" s="47">
        <v>43249</v>
      </c>
      <c r="I97" s="49">
        <v>77</v>
      </c>
      <c r="J97" s="62" t="s">
        <v>171</v>
      </c>
      <c r="K97" s="64" t="s">
        <v>554</v>
      </c>
      <c r="L97" s="76" t="s">
        <v>461</v>
      </c>
      <c r="M97" s="81" t="s">
        <v>465</v>
      </c>
      <c r="N97" s="81"/>
      <c r="O97" s="81" t="s">
        <v>79</v>
      </c>
      <c r="P97" s="81" t="s">
        <v>79</v>
      </c>
      <c r="Q97" s="50"/>
      <c r="R97" s="78"/>
      <c r="S97" s="79" t="s">
        <v>341</v>
      </c>
      <c r="T97" s="82" t="s">
        <v>1021</v>
      </c>
      <c r="U97" s="93" t="s">
        <v>1560</v>
      </c>
      <c r="V97" s="103" t="s">
        <v>1561</v>
      </c>
      <c r="W97" s="101" t="s">
        <v>1562</v>
      </c>
      <c r="X97" s="90" t="s">
        <v>146</v>
      </c>
      <c r="Y97" s="91" t="s">
        <v>79</v>
      </c>
      <c r="Z97" s="92"/>
      <c r="AA97" s="80"/>
      <c r="AB97" s="80"/>
      <c r="AC97" s="80"/>
    </row>
    <row r="98" spans="1:29" ht="39.950000000000003" customHeight="1" x14ac:dyDescent="0.25">
      <c r="A98" s="80" t="s">
        <v>676</v>
      </c>
      <c r="B98" s="86" t="s">
        <v>677</v>
      </c>
      <c r="C98" s="49" t="s">
        <v>19</v>
      </c>
      <c r="D98" s="49" t="s">
        <v>285</v>
      </c>
      <c r="E98" s="62" t="s">
        <v>441</v>
      </c>
      <c r="F98" s="62"/>
      <c r="G98" s="46">
        <v>43175</v>
      </c>
      <c r="H98" s="47">
        <v>43178</v>
      </c>
      <c r="I98" s="49">
        <v>3</v>
      </c>
      <c r="J98" s="62" t="s">
        <v>179</v>
      </c>
      <c r="K98" s="64" t="s">
        <v>555</v>
      </c>
      <c r="L98" s="76" t="s">
        <v>387</v>
      </c>
      <c r="M98" s="81" t="s">
        <v>314</v>
      </c>
      <c r="N98" s="81"/>
      <c r="O98" s="81"/>
      <c r="P98" s="81"/>
      <c r="Q98" s="50"/>
      <c r="R98" s="78"/>
      <c r="S98" s="79" t="s">
        <v>508</v>
      </c>
      <c r="T98" s="82" t="s">
        <v>413</v>
      </c>
      <c r="U98" s="93" t="s">
        <v>81</v>
      </c>
      <c r="V98" s="103" t="s">
        <v>450</v>
      </c>
      <c r="W98" s="101" t="s">
        <v>681</v>
      </c>
      <c r="X98" s="90" t="s">
        <v>146</v>
      </c>
      <c r="Y98" s="91"/>
      <c r="Z98" s="92"/>
      <c r="AA98" s="80"/>
      <c r="AB98" s="80"/>
      <c r="AC98" s="80"/>
    </row>
    <row r="99" spans="1:29" ht="39.950000000000003" customHeight="1" x14ac:dyDescent="0.25">
      <c r="A99" s="80" t="s">
        <v>678</v>
      </c>
      <c r="B99" s="85" t="s">
        <v>679</v>
      </c>
      <c r="C99" s="49" t="s">
        <v>19</v>
      </c>
      <c r="D99" s="49" t="s">
        <v>285</v>
      </c>
      <c r="E99" s="62" t="s">
        <v>14</v>
      </c>
      <c r="F99" s="62"/>
      <c r="G99" s="46">
        <v>43175</v>
      </c>
      <c r="H99" s="47">
        <v>43202</v>
      </c>
      <c r="I99" s="49">
        <v>27</v>
      </c>
      <c r="J99" s="62" t="s">
        <v>167</v>
      </c>
      <c r="K99" s="64" t="s">
        <v>554</v>
      </c>
      <c r="L99" s="76" t="s">
        <v>415</v>
      </c>
      <c r="M99" s="81" t="s">
        <v>417</v>
      </c>
      <c r="N99" s="81"/>
      <c r="O99" s="81"/>
      <c r="P99" s="81"/>
      <c r="Q99" s="50"/>
      <c r="R99" s="78"/>
      <c r="S99" s="79" t="s">
        <v>464</v>
      </c>
      <c r="T99" s="82" t="s">
        <v>61</v>
      </c>
      <c r="U99" s="93"/>
      <c r="V99" s="103" t="s">
        <v>450</v>
      </c>
      <c r="W99" s="101" t="s">
        <v>680</v>
      </c>
      <c r="X99" s="90" t="s">
        <v>146</v>
      </c>
      <c r="Y99" s="91"/>
      <c r="Z99" s="92"/>
      <c r="AA99" s="80"/>
      <c r="AB99" s="80"/>
      <c r="AC99" s="80"/>
    </row>
    <row r="100" spans="1:29" ht="39.950000000000003" customHeight="1" x14ac:dyDescent="0.25">
      <c r="A100" s="80" t="s">
        <v>682</v>
      </c>
      <c r="B100" s="86" t="s">
        <v>683</v>
      </c>
      <c r="C100" s="49" t="s">
        <v>19</v>
      </c>
      <c r="D100" s="49" t="s">
        <v>468</v>
      </c>
      <c r="E100" s="62" t="s">
        <v>108</v>
      </c>
      <c r="F100" s="62"/>
      <c r="G100" s="46">
        <v>43174</v>
      </c>
      <c r="H100" s="47">
        <v>43264</v>
      </c>
      <c r="I100" s="49">
        <v>90</v>
      </c>
      <c r="J100" s="62" t="s">
        <v>182</v>
      </c>
      <c r="K100" s="64" t="s">
        <v>555</v>
      </c>
      <c r="L100" s="76" t="s">
        <v>513</v>
      </c>
      <c r="M100" s="81" t="s">
        <v>143</v>
      </c>
      <c r="N100" s="81"/>
      <c r="O100" s="81"/>
      <c r="P100" s="81"/>
      <c r="Q100" s="50"/>
      <c r="R100" s="78"/>
      <c r="S100" s="79" t="s">
        <v>464</v>
      </c>
      <c r="T100" s="82" t="s">
        <v>59</v>
      </c>
      <c r="U100" s="93" t="s">
        <v>65</v>
      </c>
      <c r="V100" s="103" t="s">
        <v>68</v>
      </c>
      <c r="W100" s="100" t="s">
        <v>684</v>
      </c>
      <c r="X100" s="90" t="s">
        <v>146</v>
      </c>
      <c r="Y100" s="91"/>
      <c r="Z100" s="92"/>
      <c r="AA100" s="80"/>
      <c r="AB100" s="80"/>
      <c r="AC100" s="80"/>
    </row>
    <row r="101" spans="1:29" ht="39.950000000000003" customHeight="1" x14ac:dyDescent="0.25">
      <c r="A101" s="80" t="s">
        <v>687</v>
      </c>
      <c r="B101" s="85" t="s">
        <v>688</v>
      </c>
      <c r="C101" s="49" t="s">
        <v>19</v>
      </c>
      <c r="D101" s="49" t="s">
        <v>468</v>
      </c>
      <c r="E101" s="62" t="s">
        <v>686</v>
      </c>
      <c r="F101" s="62"/>
      <c r="G101" s="46">
        <v>43178</v>
      </c>
      <c r="H101" s="47">
        <v>43252</v>
      </c>
      <c r="I101" s="49">
        <v>74</v>
      </c>
      <c r="J101" s="62" t="s">
        <v>556</v>
      </c>
      <c r="K101" s="64" t="s">
        <v>556</v>
      </c>
      <c r="L101" s="76" t="s">
        <v>685</v>
      </c>
      <c r="M101" s="81" t="s">
        <v>75</v>
      </c>
      <c r="N101" s="81"/>
      <c r="O101" s="81"/>
      <c r="P101" s="81"/>
      <c r="Q101" s="50"/>
      <c r="R101" s="78"/>
      <c r="S101" s="79" t="s">
        <v>464</v>
      </c>
      <c r="T101" s="82" t="s">
        <v>59</v>
      </c>
      <c r="U101" s="93" t="s">
        <v>150</v>
      </c>
      <c r="V101" s="103" t="s">
        <v>68</v>
      </c>
      <c r="W101" s="100" t="s">
        <v>689</v>
      </c>
      <c r="X101" s="90"/>
      <c r="Y101" s="91"/>
      <c r="Z101" s="92"/>
      <c r="AA101" s="80"/>
      <c r="AB101" s="80"/>
      <c r="AC101" s="80"/>
    </row>
    <row r="102" spans="1:29" ht="39.950000000000003" customHeight="1" x14ac:dyDescent="0.25">
      <c r="A102" s="80" t="s">
        <v>690</v>
      </c>
      <c r="B102" s="86" t="s">
        <v>691</v>
      </c>
      <c r="C102" s="49" t="s">
        <v>19</v>
      </c>
      <c r="D102" s="49" t="s">
        <v>285</v>
      </c>
      <c r="E102" s="62" t="s">
        <v>17</v>
      </c>
      <c r="F102" s="62"/>
      <c r="G102" s="46">
        <v>43178</v>
      </c>
      <c r="H102" s="47">
        <v>43206</v>
      </c>
      <c r="I102" s="49">
        <v>28</v>
      </c>
      <c r="J102" s="62" t="s">
        <v>660</v>
      </c>
      <c r="K102" s="64" t="s">
        <v>556</v>
      </c>
      <c r="L102" s="76" t="s">
        <v>415</v>
      </c>
      <c r="M102" s="81" t="s">
        <v>417</v>
      </c>
      <c r="N102" s="81"/>
      <c r="O102" s="81"/>
      <c r="P102" s="81"/>
      <c r="Q102" s="50"/>
      <c r="R102" s="78"/>
      <c r="S102" s="79" t="s">
        <v>464</v>
      </c>
      <c r="T102" s="82" t="s">
        <v>414</v>
      </c>
      <c r="U102" s="93"/>
      <c r="V102" s="103" t="s">
        <v>450</v>
      </c>
      <c r="W102" s="101" t="s">
        <v>743</v>
      </c>
      <c r="X102" s="90"/>
      <c r="Y102" s="91"/>
      <c r="Z102" s="92"/>
      <c r="AA102" s="80"/>
      <c r="AB102" s="80"/>
      <c r="AC102" s="80"/>
    </row>
    <row r="103" spans="1:29" ht="39.950000000000003" customHeight="1" x14ac:dyDescent="0.25">
      <c r="A103" s="80" t="s">
        <v>693</v>
      </c>
      <c r="B103" s="85" t="s">
        <v>694</v>
      </c>
      <c r="C103" s="49" t="s">
        <v>19</v>
      </c>
      <c r="D103" s="49" t="s">
        <v>468</v>
      </c>
      <c r="E103" s="62" t="s">
        <v>17</v>
      </c>
      <c r="F103" s="62" t="s">
        <v>17</v>
      </c>
      <c r="G103" s="46">
        <v>43180</v>
      </c>
      <c r="H103" s="47">
        <v>43353</v>
      </c>
      <c r="I103" s="49">
        <v>173</v>
      </c>
      <c r="J103" s="62" t="s">
        <v>622</v>
      </c>
      <c r="K103" s="64" t="s">
        <v>554</v>
      </c>
      <c r="L103" s="76" t="s">
        <v>696</v>
      </c>
      <c r="M103" s="81" t="s">
        <v>697</v>
      </c>
      <c r="N103" s="81"/>
      <c r="O103" s="81" t="s">
        <v>1229</v>
      </c>
      <c r="P103" s="81" t="s">
        <v>79</v>
      </c>
      <c r="Q103" s="50">
        <v>0</v>
      </c>
      <c r="R103" s="78">
        <v>0</v>
      </c>
      <c r="S103" s="79" t="s">
        <v>695</v>
      </c>
      <c r="T103" s="82" t="s">
        <v>414</v>
      </c>
      <c r="U103" s="93" t="s">
        <v>953</v>
      </c>
      <c r="V103" s="103" t="s">
        <v>994</v>
      </c>
      <c r="W103" s="101" t="s">
        <v>786</v>
      </c>
      <c r="X103" s="90" t="s">
        <v>952</v>
      </c>
      <c r="Y103" s="91" t="s">
        <v>79</v>
      </c>
      <c r="Z103" s="92"/>
      <c r="AA103" s="80"/>
      <c r="AB103" s="80"/>
      <c r="AC103" s="80"/>
    </row>
    <row r="104" spans="1:29" ht="39.950000000000003" customHeight="1" x14ac:dyDescent="0.25">
      <c r="A104" s="80" t="s">
        <v>699</v>
      </c>
      <c r="B104" s="85" t="s">
        <v>700</v>
      </c>
      <c r="C104" s="49" t="s">
        <v>19</v>
      </c>
      <c r="D104" s="49" t="s">
        <v>285</v>
      </c>
      <c r="E104" s="62" t="s">
        <v>686</v>
      </c>
      <c r="F104" s="62"/>
      <c r="G104" s="46">
        <v>43181</v>
      </c>
      <c r="H104" s="47">
        <v>43202</v>
      </c>
      <c r="I104" s="49">
        <v>21</v>
      </c>
      <c r="J104" s="62" t="s">
        <v>656</v>
      </c>
      <c r="K104" s="64" t="s">
        <v>556</v>
      </c>
      <c r="L104" s="76" t="s">
        <v>698</v>
      </c>
      <c r="M104" s="81" t="s">
        <v>75</v>
      </c>
      <c r="N104" s="81"/>
      <c r="O104" s="81"/>
      <c r="P104" s="81"/>
      <c r="Q104" s="50"/>
      <c r="R104" s="78"/>
      <c r="S104" s="79" t="s">
        <v>464</v>
      </c>
      <c r="T104" s="82" t="s">
        <v>59</v>
      </c>
      <c r="U104" s="93" t="s">
        <v>65</v>
      </c>
      <c r="V104" s="103" t="s">
        <v>68</v>
      </c>
      <c r="W104" s="101" t="s">
        <v>740</v>
      </c>
      <c r="X104" s="90"/>
      <c r="Y104" s="91"/>
      <c r="Z104" s="92"/>
      <c r="AA104" s="80"/>
      <c r="AB104" s="80"/>
      <c r="AC104" s="80"/>
    </row>
    <row r="105" spans="1:29" ht="39.950000000000003" customHeight="1" x14ac:dyDescent="0.25">
      <c r="A105" s="80" t="s">
        <v>703</v>
      </c>
      <c r="B105" s="85" t="s">
        <v>704</v>
      </c>
      <c r="C105" s="49" t="s">
        <v>19</v>
      </c>
      <c r="D105" s="49" t="s">
        <v>468</v>
      </c>
      <c r="E105" s="62" t="s">
        <v>109</v>
      </c>
      <c r="F105" s="62" t="s">
        <v>17</v>
      </c>
      <c r="G105" s="46">
        <v>43179</v>
      </c>
      <c r="H105" s="47">
        <v>43353</v>
      </c>
      <c r="I105" s="49">
        <v>174</v>
      </c>
      <c r="J105" s="62" t="s">
        <v>183</v>
      </c>
      <c r="K105" s="64" t="s">
        <v>555</v>
      </c>
      <c r="L105" s="76" t="s">
        <v>702</v>
      </c>
      <c r="M105" s="81" t="s">
        <v>437</v>
      </c>
      <c r="N105" s="81"/>
      <c r="O105" s="81"/>
      <c r="P105" s="81"/>
      <c r="Q105" s="50">
        <v>0</v>
      </c>
      <c r="R105" s="78">
        <v>0</v>
      </c>
      <c r="S105" s="79" t="s">
        <v>525</v>
      </c>
      <c r="T105" s="82" t="s">
        <v>60</v>
      </c>
      <c r="U105" s="93" t="s">
        <v>1231</v>
      </c>
      <c r="V105" s="103" t="s">
        <v>994</v>
      </c>
      <c r="W105" s="101" t="s">
        <v>842</v>
      </c>
      <c r="X105" s="90" t="s">
        <v>2</v>
      </c>
      <c r="Y105" s="91" t="s">
        <v>79</v>
      </c>
      <c r="Z105" s="92"/>
      <c r="AA105" s="80"/>
      <c r="AB105" s="80"/>
      <c r="AC105" s="80"/>
    </row>
    <row r="106" spans="1:29" ht="39.950000000000003" customHeight="1" x14ac:dyDescent="0.25">
      <c r="A106" s="80" t="s">
        <v>705</v>
      </c>
      <c r="B106" s="85" t="s">
        <v>706</v>
      </c>
      <c r="C106" s="49" t="s">
        <v>19</v>
      </c>
      <c r="D106" s="49" t="s">
        <v>468</v>
      </c>
      <c r="E106" s="62" t="s">
        <v>686</v>
      </c>
      <c r="F106" s="62"/>
      <c r="G106" s="46">
        <v>43180</v>
      </c>
      <c r="H106" s="47">
        <v>43216</v>
      </c>
      <c r="I106" s="49">
        <v>36</v>
      </c>
      <c r="J106" s="62" t="s">
        <v>701</v>
      </c>
      <c r="K106" s="64" t="s">
        <v>556</v>
      </c>
      <c r="L106" s="76" t="s">
        <v>701</v>
      </c>
      <c r="M106" s="81" t="s">
        <v>515</v>
      </c>
      <c r="N106" s="81"/>
      <c r="O106" s="81"/>
      <c r="P106" s="81"/>
      <c r="Q106" s="50"/>
      <c r="R106" s="78"/>
      <c r="S106" s="79" t="s">
        <v>464</v>
      </c>
      <c r="T106" s="82" t="s">
        <v>285</v>
      </c>
      <c r="U106" s="93" t="s">
        <v>64</v>
      </c>
      <c r="V106" s="103" t="s">
        <v>285</v>
      </c>
      <c r="W106" s="101" t="s">
        <v>789</v>
      </c>
      <c r="X106" s="90"/>
      <c r="Y106" s="91"/>
      <c r="Z106" s="92"/>
      <c r="AA106" s="80"/>
      <c r="AB106" s="80"/>
      <c r="AC106" s="80"/>
    </row>
    <row r="107" spans="1:29" ht="39.950000000000003" customHeight="1" x14ac:dyDescent="0.25">
      <c r="A107" s="80" t="s">
        <v>709</v>
      </c>
      <c r="B107" s="86" t="s">
        <v>710</v>
      </c>
      <c r="C107" s="49" t="s">
        <v>19</v>
      </c>
      <c r="D107" s="49" t="s">
        <v>285</v>
      </c>
      <c r="E107" s="62" t="s">
        <v>441</v>
      </c>
      <c r="F107" s="62"/>
      <c r="G107" s="46">
        <v>43182</v>
      </c>
      <c r="H107" s="47">
        <v>43187</v>
      </c>
      <c r="I107" s="49">
        <v>5</v>
      </c>
      <c r="J107" s="62" t="s">
        <v>862</v>
      </c>
      <c r="K107" s="64" t="s">
        <v>554</v>
      </c>
      <c r="L107" s="76" t="s">
        <v>291</v>
      </c>
      <c r="M107" s="81" t="s">
        <v>76</v>
      </c>
      <c r="N107" s="81"/>
      <c r="O107" s="81"/>
      <c r="P107" s="81"/>
      <c r="Q107" s="50"/>
      <c r="R107" s="78"/>
      <c r="S107" s="79" t="s">
        <v>464</v>
      </c>
      <c r="T107" s="82" t="s">
        <v>413</v>
      </c>
      <c r="U107" s="93"/>
      <c r="V107" s="103" t="s">
        <v>450</v>
      </c>
      <c r="W107" s="101" t="s">
        <v>719</v>
      </c>
      <c r="X107" s="90"/>
      <c r="Y107" s="91"/>
      <c r="Z107" s="92"/>
      <c r="AA107" s="80"/>
      <c r="AB107" s="80"/>
      <c r="AC107" s="80"/>
    </row>
    <row r="108" spans="1:29" ht="39.950000000000003" customHeight="1" x14ac:dyDescent="0.25">
      <c r="A108" s="80" t="s">
        <v>711</v>
      </c>
      <c r="B108" s="86" t="s">
        <v>710</v>
      </c>
      <c r="C108" s="49" t="s">
        <v>19</v>
      </c>
      <c r="D108" s="49" t="s">
        <v>285</v>
      </c>
      <c r="E108" s="62" t="s">
        <v>441</v>
      </c>
      <c r="F108" s="62"/>
      <c r="G108" s="46">
        <v>43182</v>
      </c>
      <c r="H108" s="47">
        <v>43187</v>
      </c>
      <c r="I108" s="49">
        <v>5</v>
      </c>
      <c r="J108" s="62" t="s">
        <v>862</v>
      </c>
      <c r="K108" s="64" t="s">
        <v>554</v>
      </c>
      <c r="L108" s="76" t="s">
        <v>292</v>
      </c>
      <c r="M108" s="81" t="s">
        <v>76</v>
      </c>
      <c r="N108" s="81"/>
      <c r="O108" s="81"/>
      <c r="P108" s="81"/>
      <c r="Q108" s="50"/>
      <c r="R108" s="78"/>
      <c r="S108" s="79" t="s">
        <v>464</v>
      </c>
      <c r="T108" s="82" t="s">
        <v>413</v>
      </c>
      <c r="U108" s="93"/>
      <c r="V108" s="103" t="s">
        <v>450</v>
      </c>
      <c r="W108" s="101" t="s">
        <v>719</v>
      </c>
      <c r="X108" s="90"/>
      <c r="Y108" s="91"/>
      <c r="Z108" s="92"/>
      <c r="AA108" s="80"/>
      <c r="AB108" s="80"/>
      <c r="AC108" s="80"/>
    </row>
    <row r="109" spans="1:29" ht="39.950000000000003" customHeight="1" x14ac:dyDescent="0.25">
      <c r="A109" s="80" t="s">
        <v>713</v>
      </c>
      <c r="B109" s="86" t="s">
        <v>710</v>
      </c>
      <c r="C109" s="49" t="s">
        <v>19</v>
      </c>
      <c r="D109" s="49" t="s">
        <v>285</v>
      </c>
      <c r="E109" s="62" t="s">
        <v>441</v>
      </c>
      <c r="F109" s="62"/>
      <c r="G109" s="46">
        <v>43182</v>
      </c>
      <c r="H109" s="47">
        <v>43187</v>
      </c>
      <c r="I109" s="49">
        <v>5</v>
      </c>
      <c r="J109" s="62" t="s">
        <v>862</v>
      </c>
      <c r="K109" s="64" t="s">
        <v>554</v>
      </c>
      <c r="L109" s="76" t="s">
        <v>293</v>
      </c>
      <c r="M109" s="81" t="s">
        <v>76</v>
      </c>
      <c r="N109" s="81"/>
      <c r="O109" s="81"/>
      <c r="P109" s="81"/>
      <c r="Q109" s="50"/>
      <c r="R109" s="78"/>
      <c r="S109" s="79" t="s">
        <v>464</v>
      </c>
      <c r="T109" s="82" t="s">
        <v>413</v>
      </c>
      <c r="U109" s="93"/>
      <c r="V109" s="103" t="s">
        <v>450</v>
      </c>
      <c r="W109" s="101" t="s">
        <v>720</v>
      </c>
      <c r="X109" s="90"/>
      <c r="Y109" s="91"/>
      <c r="Z109" s="92"/>
      <c r="AA109" s="80"/>
      <c r="AB109" s="80"/>
      <c r="AC109" s="80"/>
    </row>
    <row r="110" spans="1:29" ht="39.950000000000003" customHeight="1" x14ac:dyDescent="0.25">
      <c r="A110" s="80" t="s">
        <v>716</v>
      </c>
      <c r="B110" s="85" t="s">
        <v>717</v>
      </c>
      <c r="C110" s="49" t="s">
        <v>19</v>
      </c>
      <c r="D110" s="49" t="s">
        <v>468</v>
      </c>
      <c r="E110" s="62" t="s">
        <v>715</v>
      </c>
      <c r="F110" s="62"/>
      <c r="G110" s="46">
        <v>43185</v>
      </c>
      <c r="H110" s="47">
        <v>43251</v>
      </c>
      <c r="I110" s="49">
        <v>66</v>
      </c>
      <c r="J110" s="62" t="s">
        <v>171</v>
      </c>
      <c r="K110" s="64" t="s">
        <v>554</v>
      </c>
      <c r="L110" s="76" t="s">
        <v>268</v>
      </c>
      <c r="M110" s="81" t="s">
        <v>212</v>
      </c>
      <c r="N110" s="81"/>
      <c r="O110" s="81"/>
      <c r="P110" s="81"/>
      <c r="Q110" s="50"/>
      <c r="R110" s="78"/>
      <c r="S110" s="79" t="s">
        <v>582</v>
      </c>
      <c r="T110" s="82" t="s">
        <v>285</v>
      </c>
      <c r="U110" s="93" t="s">
        <v>285</v>
      </c>
      <c r="V110" s="103" t="s">
        <v>285</v>
      </c>
      <c r="W110" s="101" t="s">
        <v>718</v>
      </c>
      <c r="X110" s="90"/>
      <c r="Y110" s="91"/>
      <c r="Z110" s="92" t="s">
        <v>815</v>
      </c>
      <c r="AA110" s="80"/>
      <c r="AB110" s="80"/>
      <c r="AC110" s="80"/>
    </row>
    <row r="111" spans="1:29" ht="39.950000000000003" customHeight="1" x14ac:dyDescent="0.25">
      <c r="A111" s="80" t="s">
        <v>721</v>
      </c>
      <c r="B111" s="85" t="s">
        <v>722</v>
      </c>
      <c r="C111" s="49" t="s">
        <v>19</v>
      </c>
      <c r="D111" s="49" t="s">
        <v>468</v>
      </c>
      <c r="E111" s="62" t="s">
        <v>17</v>
      </c>
      <c r="F111" s="62" t="s">
        <v>17</v>
      </c>
      <c r="G111" s="46">
        <v>43185</v>
      </c>
      <c r="H111" s="47">
        <v>43249</v>
      </c>
      <c r="I111" s="49">
        <v>64</v>
      </c>
      <c r="J111" s="62" t="s">
        <v>172</v>
      </c>
      <c r="K111" s="64" t="s">
        <v>554</v>
      </c>
      <c r="L111" s="76" t="s">
        <v>461</v>
      </c>
      <c r="M111" s="81" t="s">
        <v>465</v>
      </c>
      <c r="N111" s="81"/>
      <c r="O111" s="81" t="s">
        <v>79</v>
      </c>
      <c r="P111" s="81" t="s">
        <v>79</v>
      </c>
      <c r="Q111" s="50"/>
      <c r="R111" s="78"/>
      <c r="S111" s="79" t="s">
        <v>341</v>
      </c>
      <c r="T111" s="82" t="s">
        <v>1563</v>
      </c>
      <c r="U111" s="93" t="s">
        <v>1564</v>
      </c>
      <c r="V111" s="103" t="s">
        <v>1565</v>
      </c>
      <c r="W111" s="101" t="s">
        <v>1566</v>
      </c>
      <c r="X111" s="90" t="s">
        <v>146</v>
      </c>
      <c r="Y111" s="91" t="s">
        <v>79</v>
      </c>
      <c r="Z111" s="92"/>
      <c r="AA111" s="80"/>
      <c r="AB111" s="80"/>
      <c r="AC111" s="80"/>
    </row>
    <row r="112" spans="1:29" ht="39.950000000000003" customHeight="1" x14ac:dyDescent="0.25">
      <c r="A112" s="80" t="s">
        <v>725</v>
      </c>
      <c r="B112" s="85" t="s">
        <v>726</v>
      </c>
      <c r="C112" s="49" t="s">
        <v>19</v>
      </c>
      <c r="D112" s="49" t="s">
        <v>468</v>
      </c>
      <c r="E112" s="62" t="s">
        <v>16</v>
      </c>
      <c r="F112" s="62"/>
      <c r="G112" s="46">
        <v>43188</v>
      </c>
      <c r="H112" s="47">
        <v>43258</v>
      </c>
      <c r="I112" s="49">
        <v>70</v>
      </c>
      <c r="J112" s="62" t="s">
        <v>162</v>
      </c>
      <c r="K112" s="64" t="s">
        <v>554</v>
      </c>
      <c r="L112" s="76" t="s">
        <v>218</v>
      </c>
      <c r="M112" s="81" t="s">
        <v>213</v>
      </c>
      <c r="N112" s="81"/>
      <c r="O112" s="81"/>
      <c r="P112" s="81"/>
      <c r="Q112" s="50"/>
      <c r="R112" s="78"/>
      <c r="S112" s="79" t="s">
        <v>582</v>
      </c>
      <c r="T112" s="82" t="s">
        <v>413</v>
      </c>
      <c r="U112" s="93"/>
      <c r="V112" s="103"/>
      <c r="W112" s="101" t="s">
        <v>875</v>
      </c>
      <c r="X112" s="90"/>
      <c r="Y112" s="91"/>
      <c r="Z112" s="92"/>
      <c r="AA112" s="80"/>
      <c r="AB112" s="80"/>
      <c r="AC112" s="80"/>
    </row>
    <row r="113" spans="1:29" ht="39.950000000000003" customHeight="1" x14ac:dyDescent="0.25">
      <c r="A113" s="80" t="s">
        <v>728</v>
      </c>
      <c r="B113" s="85" t="s">
        <v>729</v>
      </c>
      <c r="C113" s="49" t="s">
        <v>19</v>
      </c>
      <c r="D113" s="49" t="s">
        <v>285</v>
      </c>
      <c r="E113" s="62" t="s">
        <v>441</v>
      </c>
      <c r="F113" s="62"/>
      <c r="G113" s="46">
        <v>43193</v>
      </c>
      <c r="H113" s="47">
        <v>43216</v>
      </c>
      <c r="I113" s="49">
        <v>23</v>
      </c>
      <c r="J113" s="62"/>
      <c r="K113" s="64" t="s">
        <v>554</v>
      </c>
      <c r="L113" s="76" t="s">
        <v>387</v>
      </c>
      <c r="M113" s="81" t="s">
        <v>314</v>
      </c>
      <c r="N113" s="81"/>
      <c r="O113" s="81"/>
      <c r="P113" s="81"/>
      <c r="Q113" s="50"/>
      <c r="R113" s="78"/>
      <c r="S113" s="79" t="s">
        <v>582</v>
      </c>
      <c r="T113" s="82" t="s">
        <v>60</v>
      </c>
      <c r="U113" s="93" t="s">
        <v>81</v>
      </c>
      <c r="V113" s="103" t="s">
        <v>67</v>
      </c>
      <c r="W113" s="101" t="s">
        <v>785</v>
      </c>
      <c r="X113" s="90"/>
      <c r="Y113" s="91"/>
      <c r="Z113" s="92" t="s">
        <v>396</v>
      </c>
      <c r="AA113" s="80"/>
      <c r="AB113" s="80"/>
      <c r="AC113" s="80"/>
    </row>
    <row r="114" spans="1:29" ht="39.950000000000003" customHeight="1" x14ac:dyDescent="0.25">
      <c r="A114" s="80" t="s">
        <v>730</v>
      </c>
      <c r="B114" s="85" t="s">
        <v>731</v>
      </c>
      <c r="C114" s="49" t="s">
        <v>19</v>
      </c>
      <c r="D114" s="49" t="s">
        <v>468</v>
      </c>
      <c r="E114" s="62" t="s">
        <v>136</v>
      </c>
      <c r="F114" s="62"/>
      <c r="G114" s="46">
        <v>43193</v>
      </c>
      <c r="H114" s="47">
        <v>43216</v>
      </c>
      <c r="I114" s="49">
        <v>23</v>
      </c>
      <c r="J114" s="62" t="s">
        <v>862</v>
      </c>
      <c r="K114" s="64" t="s">
        <v>554</v>
      </c>
      <c r="L114" s="76" t="s">
        <v>121</v>
      </c>
      <c r="M114" s="81" t="s">
        <v>76</v>
      </c>
      <c r="N114" s="81"/>
      <c r="O114" s="81"/>
      <c r="P114" s="81"/>
      <c r="Q114" s="50"/>
      <c r="R114" s="78"/>
      <c r="S114" s="79" t="s">
        <v>582</v>
      </c>
      <c r="T114" s="82" t="s">
        <v>59</v>
      </c>
      <c r="U114" s="93" t="s">
        <v>62</v>
      </c>
      <c r="V114" s="103" t="s">
        <v>67</v>
      </c>
      <c r="W114" s="101" t="s">
        <v>790</v>
      </c>
      <c r="X114" s="90" t="s">
        <v>1</v>
      </c>
      <c r="Y114" s="91"/>
      <c r="Z114" s="92"/>
      <c r="AA114" s="80"/>
      <c r="AB114" s="80"/>
      <c r="AC114" s="80"/>
    </row>
    <row r="115" spans="1:29" ht="39.950000000000003" customHeight="1" x14ac:dyDescent="0.25">
      <c r="A115" s="80" t="s">
        <v>732</v>
      </c>
      <c r="B115" s="85" t="s">
        <v>733</v>
      </c>
      <c r="C115" s="49" t="s">
        <v>19</v>
      </c>
      <c r="D115" s="49" t="s">
        <v>285</v>
      </c>
      <c r="E115" s="62" t="s">
        <v>108</v>
      </c>
      <c r="F115" s="62" t="s">
        <v>17</v>
      </c>
      <c r="G115" s="46">
        <v>43195</v>
      </c>
      <c r="H115" s="47">
        <v>43320</v>
      </c>
      <c r="I115" s="49">
        <v>125</v>
      </c>
      <c r="J115" s="62" t="s">
        <v>181</v>
      </c>
      <c r="K115" s="64" t="s">
        <v>555</v>
      </c>
      <c r="L115" s="76" t="s">
        <v>512</v>
      </c>
      <c r="M115" s="81" t="s">
        <v>85</v>
      </c>
      <c r="N115" s="81" t="s">
        <v>525</v>
      </c>
      <c r="O115" s="81" t="s">
        <v>79</v>
      </c>
      <c r="P115" s="81"/>
      <c r="Q115" s="50">
        <v>0</v>
      </c>
      <c r="R115" s="78">
        <v>0</v>
      </c>
      <c r="S115" s="79" t="s">
        <v>464</v>
      </c>
      <c r="T115" s="82" t="s">
        <v>59</v>
      </c>
      <c r="U115" s="93" t="s">
        <v>1012</v>
      </c>
      <c r="V115" s="103" t="s">
        <v>991</v>
      </c>
      <c r="W115" s="100" t="s">
        <v>1037</v>
      </c>
      <c r="X115" s="90" t="s">
        <v>1</v>
      </c>
      <c r="Y115" s="91" t="s">
        <v>79</v>
      </c>
      <c r="Z115" s="92"/>
      <c r="AA115" s="80"/>
      <c r="AB115" s="80"/>
      <c r="AC115" s="80"/>
    </row>
    <row r="116" spans="1:29" ht="39.950000000000003" customHeight="1" x14ac:dyDescent="0.25">
      <c r="A116" s="80" t="s">
        <v>734</v>
      </c>
      <c r="B116" s="86" t="s">
        <v>735</v>
      </c>
      <c r="C116" s="49" t="s">
        <v>19</v>
      </c>
      <c r="D116" s="49" t="s">
        <v>468</v>
      </c>
      <c r="E116" s="62" t="s">
        <v>441</v>
      </c>
      <c r="F116" s="62" t="s">
        <v>17</v>
      </c>
      <c r="G116" s="46">
        <v>43196</v>
      </c>
      <c r="H116" s="47">
        <v>43202</v>
      </c>
      <c r="I116" s="49">
        <v>6</v>
      </c>
      <c r="J116" s="62" t="s">
        <v>173</v>
      </c>
      <c r="K116" s="64" t="s">
        <v>554</v>
      </c>
      <c r="L116" s="76" t="s">
        <v>415</v>
      </c>
      <c r="M116" s="81" t="s">
        <v>339</v>
      </c>
      <c r="N116" s="81"/>
      <c r="O116" s="81" t="s">
        <v>1209</v>
      </c>
      <c r="P116" s="81" t="s">
        <v>1209</v>
      </c>
      <c r="Q116" s="50">
        <v>0</v>
      </c>
      <c r="R116" s="78">
        <v>0</v>
      </c>
      <c r="S116" s="79" t="s">
        <v>464</v>
      </c>
      <c r="T116" s="82" t="s">
        <v>413</v>
      </c>
      <c r="U116" s="93" t="s">
        <v>953</v>
      </c>
      <c r="V116" s="103" t="s">
        <v>994</v>
      </c>
      <c r="W116" s="101" t="s">
        <v>736</v>
      </c>
      <c r="X116" s="90" t="s">
        <v>146</v>
      </c>
      <c r="Y116" s="91" t="s">
        <v>79</v>
      </c>
      <c r="Z116" s="92"/>
      <c r="AA116" s="80"/>
      <c r="AB116" s="80"/>
      <c r="AC116" s="80"/>
    </row>
    <row r="117" spans="1:29" ht="39.950000000000003" customHeight="1" x14ac:dyDescent="0.25">
      <c r="A117" s="80" t="s">
        <v>737</v>
      </c>
      <c r="B117" s="86" t="s">
        <v>738</v>
      </c>
      <c r="C117" s="49" t="s">
        <v>18</v>
      </c>
      <c r="D117" s="49" t="s">
        <v>468</v>
      </c>
      <c r="E117" s="62" t="s">
        <v>441</v>
      </c>
      <c r="F117" s="62" t="s">
        <v>17</v>
      </c>
      <c r="G117" s="46">
        <v>43196</v>
      </c>
      <c r="H117" s="47"/>
      <c r="I117" s="49">
        <v>298.72000000000003</v>
      </c>
      <c r="J117" s="62" t="s">
        <v>174</v>
      </c>
      <c r="K117" s="64" t="s">
        <v>554</v>
      </c>
      <c r="L117" s="76" t="s">
        <v>387</v>
      </c>
      <c r="M117" s="81" t="s">
        <v>314</v>
      </c>
      <c r="N117" s="81" t="s">
        <v>285</v>
      </c>
      <c r="O117" s="81" t="s">
        <v>285</v>
      </c>
      <c r="P117" s="81" t="s">
        <v>79</v>
      </c>
      <c r="Q117" s="50">
        <v>0</v>
      </c>
      <c r="R117" s="78">
        <v>0</v>
      </c>
      <c r="S117" s="79" t="s">
        <v>508</v>
      </c>
      <c r="T117" s="82" t="s">
        <v>1022</v>
      </c>
      <c r="U117" s="93" t="s">
        <v>1542</v>
      </c>
      <c r="V117" s="103" t="s">
        <v>995</v>
      </c>
      <c r="W117" s="101" t="s">
        <v>839</v>
      </c>
      <c r="X117" s="90" t="s">
        <v>146</v>
      </c>
      <c r="Y117" s="91" t="s">
        <v>79</v>
      </c>
      <c r="Z117" s="92" t="s">
        <v>396</v>
      </c>
      <c r="AA117" s="80"/>
      <c r="AB117" s="80"/>
      <c r="AC117" s="80"/>
    </row>
    <row r="118" spans="1:29" ht="39.950000000000003" customHeight="1" x14ac:dyDescent="0.25">
      <c r="A118" s="80" t="s">
        <v>741</v>
      </c>
      <c r="B118" s="85" t="s">
        <v>742</v>
      </c>
      <c r="C118" s="49" t="s">
        <v>19</v>
      </c>
      <c r="D118" s="49" t="s">
        <v>468</v>
      </c>
      <c r="E118" s="62" t="s">
        <v>108</v>
      </c>
      <c r="F118" s="62"/>
      <c r="G118" s="46">
        <v>43189</v>
      </c>
      <c r="H118" s="47">
        <v>43252</v>
      </c>
      <c r="I118" s="49">
        <v>63</v>
      </c>
      <c r="J118" s="62" t="s">
        <v>180</v>
      </c>
      <c r="K118" s="64" t="s">
        <v>555</v>
      </c>
      <c r="L118" s="76" t="s">
        <v>123</v>
      </c>
      <c r="M118" s="81" t="s">
        <v>149</v>
      </c>
      <c r="N118" s="81"/>
      <c r="O118" s="81"/>
      <c r="P118" s="81"/>
      <c r="Q118" s="50"/>
      <c r="R118" s="78"/>
      <c r="S118" s="79" t="s">
        <v>582</v>
      </c>
      <c r="T118" s="82" t="s">
        <v>60</v>
      </c>
      <c r="U118" s="93" t="s">
        <v>83</v>
      </c>
      <c r="V118" s="103" t="s">
        <v>67</v>
      </c>
      <c r="W118" s="101" t="s">
        <v>868</v>
      </c>
      <c r="X118" s="90" t="s">
        <v>1</v>
      </c>
      <c r="Y118" s="91"/>
      <c r="Z118" s="92"/>
      <c r="AA118" s="80"/>
      <c r="AB118" s="80"/>
      <c r="AC118" s="80"/>
    </row>
    <row r="119" spans="1:29" ht="39.950000000000003" customHeight="1" x14ac:dyDescent="0.25">
      <c r="A119" s="80" t="s">
        <v>744</v>
      </c>
      <c r="B119" s="85" t="s">
        <v>745</v>
      </c>
      <c r="C119" s="49" t="s">
        <v>19</v>
      </c>
      <c r="D119" s="49" t="s">
        <v>468</v>
      </c>
      <c r="E119" s="62" t="s">
        <v>14</v>
      </c>
      <c r="F119" s="62"/>
      <c r="G119" s="46">
        <v>43206</v>
      </c>
      <c r="H119" s="47">
        <v>43216</v>
      </c>
      <c r="I119" s="49">
        <v>10</v>
      </c>
      <c r="J119" s="62" t="s">
        <v>168</v>
      </c>
      <c r="K119" s="64" t="s">
        <v>554</v>
      </c>
      <c r="L119" s="76" t="s">
        <v>48</v>
      </c>
      <c r="M119" s="81" t="s">
        <v>75</v>
      </c>
      <c r="N119" s="81"/>
      <c r="O119" s="81"/>
      <c r="P119" s="81"/>
      <c r="Q119" s="50"/>
      <c r="R119" s="78"/>
      <c r="S119" s="79" t="s">
        <v>464</v>
      </c>
      <c r="T119" s="82" t="s">
        <v>59</v>
      </c>
      <c r="U119" s="93" t="s">
        <v>65</v>
      </c>
      <c r="V119" s="103" t="s">
        <v>68</v>
      </c>
      <c r="W119" s="101" t="s">
        <v>791</v>
      </c>
      <c r="X119" s="90" t="s">
        <v>146</v>
      </c>
      <c r="Y119" s="91"/>
      <c r="Z119" s="92"/>
      <c r="AA119" s="80"/>
      <c r="AB119" s="80"/>
      <c r="AC119" s="80"/>
    </row>
    <row r="120" spans="1:29" ht="39.950000000000003" customHeight="1" x14ac:dyDescent="0.25">
      <c r="A120" s="80" t="s">
        <v>747</v>
      </c>
      <c r="B120" s="85" t="s">
        <v>748</v>
      </c>
      <c r="C120" s="49" t="s">
        <v>19</v>
      </c>
      <c r="D120" s="49" t="s">
        <v>468</v>
      </c>
      <c r="E120" s="62" t="s">
        <v>136</v>
      </c>
      <c r="F120" s="62"/>
      <c r="G120" s="46">
        <v>43207</v>
      </c>
      <c r="H120" s="47"/>
      <c r="I120" s="49"/>
      <c r="J120" s="62" t="s">
        <v>176</v>
      </c>
      <c r="K120" s="64" t="s">
        <v>554</v>
      </c>
      <c r="L120" s="76" t="s">
        <v>200</v>
      </c>
      <c r="M120" s="81" t="s">
        <v>212</v>
      </c>
      <c r="N120" s="81"/>
      <c r="O120" s="81"/>
      <c r="P120" s="81"/>
      <c r="Q120" s="50"/>
      <c r="R120" s="78"/>
      <c r="S120" s="79" t="s">
        <v>582</v>
      </c>
      <c r="T120" s="82" t="s">
        <v>59</v>
      </c>
      <c r="U120" s="93" t="s">
        <v>285</v>
      </c>
      <c r="V120" s="103" t="s">
        <v>285</v>
      </c>
      <c r="W120" s="101" t="s">
        <v>840</v>
      </c>
      <c r="X120" s="90"/>
      <c r="Y120" s="91"/>
      <c r="Z120" s="92"/>
      <c r="AA120" s="80"/>
      <c r="AB120" s="80"/>
      <c r="AC120" s="80"/>
    </row>
    <row r="121" spans="1:29" ht="39.950000000000003" customHeight="1" x14ac:dyDescent="0.25">
      <c r="A121" s="80" t="s">
        <v>751</v>
      </c>
      <c r="B121" s="85" t="s">
        <v>752</v>
      </c>
      <c r="C121" s="49" t="s">
        <v>19</v>
      </c>
      <c r="D121" s="49" t="s">
        <v>520</v>
      </c>
      <c r="E121" s="62" t="s">
        <v>517</v>
      </c>
      <c r="F121" s="62" t="s">
        <v>17</v>
      </c>
      <c r="G121" s="46">
        <v>43207</v>
      </c>
      <c r="H121" s="47">
        <v>43208</v>
      </c>
      <c r="I121" s="49">
        <v>1</v>
      </c>
      <c r="J121" s="62" t="s">
        <v>555</v>
      </c>
      <c r="K121" s="64"/>
      <c r="L121" s="76" t="s">
        <v>749</v>
      </c>
      <c r="M121" s="81" t="s">
        <v>750</v>
      </c>
      <c r="N121" s="81"/>
      <c r="O121" s="81" t="s">
        <v>1209</v>
      </c>
      <c r="P121" s="81" t="s">
        <v>1209</v>
      </c>
      <c r="Q121" s="50"/>
      <c r="R121" s="78"/>
      <c r="S121" s="79" t="s">
        <v>525</v>
      </c>
      <c r="T121" s="82" t="s">
        <v>1021</v>
      </c>
      <c r="U121" s="93" t="s">
        <v>1012</v>
      </c>
      <c r="V121" s="103" t="s">
        <v>67</v>
      </c>
      <c r="W121" s="101" t="s">
        <v>754</v>
      </c>
      <c r="X121" s="90" t="s">
        <v>1</v>
      </c>
      <c r="Y121" s="91"/>
      <c r="Z121" s="92"/>
      <c r="AA121" s="80"/>
      <c r="AB121" s="80"/>
      <c r="AC121" s="80"/>
    </row>
    <row r="122" spans="1:29" ht="39.950000000000003" customHeight="1" x14ac:dyDescent="0.25">
      <c r="A122" s="80" t="s">
        <v>755</v>
      </c>
      <c r="B122" s="85" t="s">
        <v>756</v>
      </c>
      <c r="C122" s="49" t="s">
        <v>19</v>
      </c>
      <c r="D122" s="49" t="s">
        <v>468</v>
      </c>
      <c r="E122" s="62" t="s">
        <v>17</v>
      </c>
      <c r="F122" s="62"/>
      <c r="G122" s="46">
        <v>43208</v>
      </c>
      <c r="H122" s="47">
        <v>43252</v>
      </c>
      <c r="I122" s="49">
        <v>44</v>
      </c>
      <c r="J122" s="62" t="s">
        <v>182</v>
      </c>
      <c r="K122" s="64" t="s">
        <v>555</v>
      </c>
      <c r="L122" s="76" t="s">
        <v>650</v>
      </c>
      <c r="M122" s="81" t="s">
        <v>149</v>
      </c>
      <c r="N122" s="81"/>
      <c r="O122" s="81"/>
      <c r="P122" s="81"/>
      <c r="Q122" s="50"/>
      <c r="R122" s="78"/>
      <c r="S122" s="79" t="s">
        <v>757</v>
      </c>
      <c r="T122" s="82" t="s">
        <v>60</v>
      </c>
      <c r="U122" s="93" t="s">
        <v>63</v>
      </c>
      <c r="V122" s="103" t="s">
        <v>67</v>
      </c>
      <c r="W122" s="101" t="s">
        <v>867</v>
      </c>
      <c r="X122" s="90" t="s">
        <v>146</v>
      </c>
      <c r="Y122" s="91"/>
      <c r="Z122" s="92"/>
      <c r="AA122" s="80"/>
      <c r="AB122" s="80"/>
      <c r="AC122" s="80"/>
    </row>
    <row r="123" spans="1:29" ht="39.950000000000003" customHeight="1" x14ac:dyDescent="0.25">
      <c r="A123" s="80" t="s">
        <v>758</v>
      </c>
      <c r="B123" s="85" t="s">
        <v>759</v>
      </c>
      <c r="C123" s="49" t="s">
        <v>19</v>
      </c>
      <c r="D123" s="49" t="s">
        <v>468</v>
      </c>
      <c r="E123" s="62" t="s">
        <v>136</v>
      </c>
      <c r="F123" s="62"/>
      <c r="G123" s="46">
        <v>43208</v>
      </c>
      <c r="H123" s="47">
        <v>43252</v>
      </c>
      <c r="I123" s="49">
        <v>44</v>
      </c>
      <c r="J123" s="62" t="s">
        <v>176</v>
      </c>
      <c r="K123" s="64" t="s">
        <v>554</v>
      </c>
      <c r="L123" s="76" t="s">
        <v>208</v>
      </c>
      <c r="M123" s="81" t="s">
        <v>212</v>
      </c>
      <c r="N123" s="81"/>
      <c r="O123" s="81"/>
      <c r="P123" s="81"/>
      <c r="Q123" s="50"/>
      <c r="R123" s="78"/>
      <c r="S123" s="79" t="s">
        <v>582</v>
      </c>
      <c r="T123" s="82" t="s">
        <v>59</v>
      </c>
      <c r="U123" s="93" t="s">
        <v>82</v>
      </c>
      <c r="V123" s="103" t="s">
        <v>68</v>
      </c>
      <c r="W123" s="101" t="s">
        <v>825</v>
      </c>
      <c r="X123" s="90" t="s">
        <v>146</v>
      </c>
      <c r="Y123" s="91"/>
      <c r="Z123" s="92" t="s">
        <v>826</v>
      </c>
      <c r="AA123" s="80"/>
      <c r="AB123" s="80"/>
      <c r="AC123" s="80"/>
    </row>
    <row r="124" spans="1:29" ht="39.950000000000003" customHeight="1" x14ac:dyDescent="0.25">
      <c r="A124" s="80" t="s">
        <v>760</v>
      </c>
      <c r="B124" s="85" t="s">
        <v>761</v>
      </c>
      <c r="C124" s="49" t="s">
        <v>19</v>
      </c>
      <c r="D124" s="49" t="s">
        <v>468</v>
      </c>
      <c r="E124" s="62" t="s">
        <v>16</v>
      </c>
      <c r="F124" s="62" t="s">
        <v>774</v>
      </c>
      <c r="G124" s="46">
        <v>43209</v>
      </c>
      <c r="H124" s="47">
        <v>43476</v>
      </c>
      <c r="I124" s="49">
        <v>267</v>
      </c>
      <c r="J124" s="62" t="s">
        <v>172</v>
      </c>
      <c r="K124" s="64" t="s">
        <v>554</v>
      </c>
      <c r="L124" s="76" t="s">
        <v>1387</v>
      </c>
      <c r="M124" s="81" t="s">
        <v>75</v>
      </c>
      <c r="N124" s="81" t="s">
        <v>915</v>
      </c>
      <c r="O124" s="81" t="s">
        <v>1388</v>
      </c>
      <c r="P124" s="81" t="s">
        <v>79</v>
      </c>
      <c r="Q124" s="50">
        <v>0</v>
      </c>
      <c r="R124" s="78">
        <v>0</v>
      </c>
      <c r="S124" s="79" t="s">
        <v>464</v>
      </c>
      <c r="T124" s="82" t="s">
        <v>1022</v>
      </c>
      <c r="U124" s="93" t="s">
        <v>1012</v>
      </c>
      <c r="V124" s="103" t="s">
        <v>991</v>
      </c>
      <c r="W124" s="101" t="s">
        <v>1877</v>
      </c>
      <c r="X124" s="90" t="s">
        <v>146</v>
      </c>
      <c r="Y124" s="91" t="s">
        <v>79</v>
      </c>
      <c r="Z124" s="92" t="s">
        <v>367</v>
      </c>
      <c r="AA124" s="80"/>
      <c r="AB124" s="80"/>
      <c r="AC124" s="80"/>
    </row>
    <row r="125" spans="1:29" ht="39.950000000000003" customHeight="1" x14ac:dyDescent="0.25">
      <c r="A125" s="80" t="s">
        <v>762</v>
      </c>
      <c r="B125" s="86" t="s">
        <v>763</v>
      </c>
      <c r="C125" s="49" t="s">
        <v>19</v>
      </c>
      <c r="D125" s="49" t="s">
        <v>520</v>
      </c>
      <c r="E125" s="62" t="s">
        <v>16</v>
      </c>
      <c r="F125" s="62"/>
      <c r="G125" s="46">
        <v>43210</v>
      </c>
      <c r="H125" s="47">
        <v>43258</v>
      </c>
      <c r="I125" s="49">
        <v>48</v>
      </c>
      <c r="J125" s="62" t="s">
        <v>172</v>
      </c>
      <c r="K125" s="64" t="s">
        <v>554</v>
      </c>
      <c r="L125" s="76" t="s">
        <v>387</v>
      </c>
      <c r="M125" s="81" t="s">
        <v>314</v>
      </c>
      <c r="N125" s="81"/>
      <c r="O125" s="81"/>
      <c r="P125" s="81"/>
      <c r="Q125" s="50"/>
      <c r="R125" s="78"/>
      <c r="S125" s="79" t="s">
        <v>582</v>
      </c>
      <c r="T125" s="82" t="s">
        <v>58</v>
      </c>
      <c r="U125" s="93" t="s">
        <v>81</v>
      </c>
      <c r="V125" s="103" t="s">
        <v>67</v>
      </c>
      <c r="W125" s="101" t="s">
        <v>874</v>
      </c>
      <c r="X125" s="90" t="s">
        <v>2</v>
      </c>
      <c r="Y125" s="91"/>
      <c r="Z125" s="92" t="s">
        <v>396</v>
      </c>
      <c r="AA125" s="80"/>
      <c r="AB125" s="80"/>
      <c r="AC125" s="80"/>
    </row>
    <row r="126" spans="1:29" ht="39.950000000000003" customHeight="1" x14ac:dyDescent="0.25">
      <c r="A126" s="80" t="s">
        <v>764</v>
      </c>
      <c r="B126" s="85" t="s">
        <v>765</v>
      </c>
      <c r="C126" s="49" t="s">
        <v>19</v>
      </c>
      <c r="D126" s="49" t="s">
        <v>468</v>
      </c>
      <c r="E126" s="62" t="s">
        <v>17</v>
      </c>
      <c r="F126" s="62"/>
      <c r="G126" s="46">
        <v>43214</v>
      </c>
      <c r="H126" s="47">
        <v>43231</v>
      </c>
      <c r="I126" s="49">
        <v>17</v>
      </c>
      <c r="J126" s="62" t="s">
        <v>181</v>
      </c>
      <c r="K126" s="64" t="s">
        <v>555</v>
      </c>
      <c r="L126" s="76" t="s">
        <v>387</v>
      </c>
      <c r="M126" s="81" t="s">
        <v>314</v>
      </c>
      <c r="N126" s="81"/>
      <c r="O126" s="81"/>
      <c r="P126" s="81"/>
      <c r="Q126" s="50"/>
      <c r="R126" s="78"/>
      <c r="S126" s="79" t="s">
        <v>464</v>
      </c>
      <c r="T126" s="82" t="s">
        <v>59</v>
      </c>
      <c r="U126" s="93" t="s">
        <v>64</v>
      </c>
      <c r="V126" s="103" t="s">
        <v>67</v>
      </c>
      <c r="W126" s="101" t="s">
        <v>834</v>
      </c>
      <c r="X126" s="90" t="s">
        <v>4</v>
      </c>
      <c r="Y126" s="91"/>
      <c r="Z126" s="92"/>
      <c r="AA126" s="80"/>
      <c r="AB126" s="80"/>
      <c r="AC126" s="80"/>
    </row>
    <row r="127" spans="1:29" ht="39.950000000000003" customHeight="1" x14ac:dyDescent="0.25">
      <c r="A127" s="80" t="s">
        <v>766</v>
      </c>
      <c r="B127" s="85" t="s">
        <v>767</v>
      </c>
      <c r="C127" s="49" t="s">
        <v>19</v>
      </c>
      <c r="D127" s="49" t="s">
        <v>468</v>
      </c>
      <c r="E127" s="62" t="s">
        <v>17</v>
      </c>
      <c r="F127" s="62"/>
      <c r="G127" s="46">
        <v>43214</v>
      </c>
      <c r="H127" s="47">
        <v>43231</v>
      </c>
      <c r="I127" s="49">
        <v>17</v>
      </c>
      <c r="J127" s="62" t="s">
        <v>577</v>
      </c>
      <c r="K127" s="64" t="s">
        <v>555</v>
      </c>
      <c r="L127" s="76" t="s">
        <v>387</v>
      </c>
      <c r="M127" s="81" t="s">
        <v>314</v>
      </c>
      <c r="N127" s="81"/>
      <c r="O127" s="81"/>
      <c r="P127" s="81"/>
      <c r="Q127" s="50"/>
      <c r="R127" s="78"/>
      <c r="S127" s="79" t="s">
        <v>508</v>
      </c>
      <c r="T127" s="82" t="s">
        <v>413</v>
      </c>
      <c r="U127" s="93"/>
      <c r="V127" s="103" t="s">
        <v>450</v>
      </c>
      <c r="W127" s="101" t="s">
        <v>833</v>
      </c>
      <c r="X127" s="90" t="s">
        <v>146</v>
      </c>
      <c r="Y127" s="91"/>
      <c r="Z127" s="92"/>
      <c r="AA127" s="80"/>
      <c r="AB127" s="80"/>
      <c r="AC127" s="80"/>
    </row>
    <row r="128" spans="1:29" ht="39.950000000000003" customHeight="1" x14ac:dyDescent="0.25">
      <c r="A128" s="80" t="s">
        <v>768</v>
      </c>
      <c r="B128" s="85" t="s">
        <v>769</v>
      </c>
      <c r="C128" s="49" t="s">
        <v>19</v>
      </c>
      <c r="D128" s="49" t="s">
        <v>468</v>
      </c>
      <c r="E128" s="62" t="s">
        <v>14</v>
      </c>
      <c r="F128" s="62"/>
      <c r="G128" s="46">
        <v>43214</v>
      </c>
      <c r="H128" s="47">
        <v>43215</v>
      </c>
      <c r="I128" s="49">
        <v>1</v>
      </c>
      <c r="J128" s="62" t="s">
        <v>170</v>
      </c>
      <c r="K128" s="64" t="s">
        <v>554</v>
      </c>
      <c r="L128" s="76" t="s">
        <v>415</v>
      </c>
      <c r="M128" s="81" t="s">
        <v>417</v>
      </c>
      <c r="N128" s="81"/>
      <c r="O128" s="81"/>
      <c r="P128" s="81"/>
      <c r="Q128" s="50"/>
      <c r="R128" s="78"/>
      <c r="S128" s="79" t="s">
        <v>464</v>
      </c>
      <c r="T128" s="82" t="s">
        <v>59</v>
      </c>
      <c r="U128" s="93" t="s">
        <v>62</v>
      </c>
      <c r="V128" s="103"/>
      <c r="W128" s="101" t="s">
        <v>781</v>
      </c>
      <c r="X128" s="90" t="s">
        <v>146</v>
      </c>
      <c r="Y128" s="91"/>
      <c r="Z128" s="92"/>
      <c r="AA128" s="80"/>
      <c r="AB128" s="80"/>
      <c r="AC128" s="80"/>
    </row>
    <row r="129" spans="1:29" ht="39.950000000000003" customHeight="1" x14ac:dyDescent="0.25">
      <c r="A129" s="80" t="s">
        <v>770</v>
      </c>
      <c r="B129" s="85" t="s">
        <v>771</v>
      </c>
      <c r="C129" s="49" t="s">
        <v>19</v>
      </c>
      <c r="D129" s="49" t="s">
        <v>468</v>
      </c>
      <c r="E129" s="62" t="s">
        <v>16</v>
      </c>
      <c r="F129" s="62" t="s">
        <v>17</v>
      </c>
      <c r="G129" s="46">
        <v>43215</v>
      </c>
      <c r="H129" s="47">
        <v>43252</v>
      </c>
      <c r="I129" s="49">
        <v>37</v>
      </c>
      <c r="J129" s="62" t="s">
        <v>174</v>
      </c>
      <c r="K129" s="64" t="s">
        <v>554</v>
      </c>
      <c r="L129" s="76" t="s">
        <v>313</v>
      </c>
      <c r="M129" s="81" t="s">
        <v>314</v>
      </c>
      <c r="N129" s="81"/>
      <c r="O129" s="81" t="s">
        <v>1209</v>
      </c>
      <c r="P129" s="81" t="s">
        <v>1209</v>
      </c>
      <c r="Q129" s="50">
        <v>0</v>
      </c>
      <c r="R129" s="78">
        <v>0</v>
      </c>
      <c r="S129" s="79" t="s">
        <v>341</v>
      </c>
      <c r="T129" s="82" t="s">
        <v>1563</v>
      </c>
      <c r="U129" s="93" t="s">
        <v>953</v>
      </c>
      <c r="V129" s="103" t="s">
        <v>994</v>
      </c>
      <c r="W129" s="101" t="s">
        <v>1567</v>
      </c>
      <c r="X129" s="90" t="s">
        <v>602</v>
      </c>
      <c r="Y129" s="91" t="s">
        <v>79</v>
      </c>
      <c r="Z129" s="92"/>
      <c r="AA129" s="80"/>
      <c r="AB129" s="80"/>
      <c r="AC129" s="80"/>
    </row>
    <row r="130" spans="1:29" ht="39.950000000000003" customHeight="1" x14ac:dyDescent="0.25">
      <c r="A130" s="80" t="s">
        <v>775</v>
      </c>
      <c r="B130" s="85" t="s">
        <v>776</v>
      </c>
      <c r="C130" s="49" t="s">
        <v>19</v>
      </c>
      <c r="D130" s="49" t="s">
        <v>285</v>
      </c>
      <c r="E130" s="62" t="s">
        <v>774</v>
      </c>
      <c r="F130" s="62"/>
      <c r="G130" s="46">
        <v>43215</v>
      </c>
      <c r="H130" s="47">
        <v>43215</v>
      </c>
      <c r="I130" s="49">
        <v>0</v>
      </c>
      <c r="J130" s="62" t="s">
        <v>170</v>
      </c>
      <c r="K130" s="64" t="s">
        <v>554</v>
      </c>
      <c r="L130" s="76" t="s">
        <v>772</v>
      </c>
      <c r="M130" s="81" t="s">
        <v>773</v>
      </c>
      <c r="N130" s="81"/>
      <c r="O130" s="81"/>
      <c r="P130" s="81"/>
      <c r="Q130" s="50"/>
      <c r="R130" s="78"/>
      <c r="S130" s="79" t="s">
        <v>464</v>
      </c>
      <c r="T130" s="82" t="s">
        <v>59</v>
      </c>
      <c r="U130" s="93" t="s">
        <v>65</v>
      </c>
      <c r="V130" s="103" t="s">
        <v>311</v>
      </c>
      <c r="W130" s="100" t="s">
        <v>777</v>
      </c>
      <c r="X130" s="90"/>
      <c r="Y130" s="91"/>
      <c r="Z130" s="92"/>
      <c r="AA130" s="80"/>
      <c r="AB130" s="80"/>
      <c r="AC130" s="80"/>
    </row>
    <row r="131" spans="1:29" ht="39.950000000000003" customHeight="1" x14ac:dyDescent="0.25">
      <c r="A131" s="80" t="s">
        <v>778</v>
      </c>
      <c r="B131" s="85" t="s">
        <v>779</v>
      </c>
      <c r="C131" s="49" t="s">
        <v>19</v>
      </c>
      <c r="D131" s="49" t="s">
        <v>468</v>
      </c>
      <c r="E131" s="62" t="s">
        <v>108</v>
      </c>
      <c r="F131" s="62" t="s">
        <v>17</v>
      </c>
      <c r="G131" s="46">
        <v>43215</v>
      </c>
      <c r="H131" s="47">
        <v>43215</v>
      </c>
      <c r="I131" s="49">
        <v>0</v>
      </c>
      <c r="J131" s="62" t="s">
        <v>183</v>
      </c>
      <c r="K131" s="64" t="s">
        <v>555</v>
      </c>
      <c r="L131" s="76" t="s">
        <v>514</v>
      </c>
      <c r="M131" s="81" t="s">
        <v>526</v>
      </c>
      <c r="N131" s="81"/>
      <c r="O131" s="81" t="s">
        <v>1209</v>
      </c>
      <c r="P131" s="81" t="s">
        <v>1209</v>
      </c>
      <c r="Q131" s="50"/>
      <c r="R131" s="78"/>
      <c r="S131" s="79" t="s">
        <v>525</v>
      </c>
      <c r="T131" s="82" t="s">
        <v>1021</v>
      </c>
      <c r="U131" s="93" t="s">
        <v>1012</v>
      </c>
      <c r="V131" s="103" t="s">
        <v>67</v>
      </c>
      <c r="W131" s="100" t="s">
        <v>780</v>
      </c>
      <c r="X131" s="90" t="s">
        <v>2</v>
      </c>
      <c r="Y131" s="91"/>
      <c r="Z131" s="92"/>
      <c r="AA131" s="80"/>
      <c r="AB131" s="80"/>
      <c r="AC131" s="80"/>
    </row>
    <row r="132" spans="1:29" ht="39.950000000000003" customHeight="1" x14ac:dyDescent="0.25">
      <c r="A132" s="80" t="s">
        <v>782</v>
      </c>
      <c r="B132" s="85" t="s">
        <v>784</v>
      </c>
      <c r="C132" s="49" t="s">
        <v>19</v>
      </c>
      <c r="D132" s="49" t="s">
        <v>520</v>
      </c>
      <c r="E132" s="62" t="s">
        <v>783</v>
      </c>
      <c r="F132" s="62" t="s">
        <v>17</v>
      </c>
      <c r="G132" s="46">
        <v>43216</v>
      </c>
      <c r="H132" s="47">
        <v>43340</v>
      </c>
      <c r="I132" s="49">
        <v>124</v>
      </c>
      <c r="J132" s="62" t="s">
        <v>169</v>
      </c>
      <c r="K132" s="64" t="s">
        <v>554</v>
      </c>
      <c r="L132" s="76" t="s">
        <v>461</v>
      </c>
      <c r="M132" s="81" t="s">
        <v>465</v>
      </c>
      <c r="N132" s="81"/>
      <c r="O132" s="81" t="s">
        <v>79</v>
      </c>
      <c r="P132" s="81" t="s">
        <v>79</v>
      </c>
      <c r="Q132" s="50">
        <v>0</v>
      </c>
      <c r="R132" s="78">
        <v>0</v>
      </c>
      <c r="S132" s="79" t="s">
        <v>341</v>
      </c>
      <c r="T132" s="82" t="s">
        <v>1563</v>
      </c>
      <c r="U132" s="93" t="s">
        <v>953</v>
      </c>
      <c r="V132" s="103" t="s">
        <v>994</v>
      </c>
      <c r="W132" s="101" t="s">
        <v>1188</v>
      </c>
      <c r="X132" s="90" t="s">
        <v>1</v>
      </c>
      <c r="Y132" s="91" t="s">
        <v>79</v>
      </c>
      <c r="Z132" s="92"/>
      <c r="AA132" s="80"/>
      <c r="AB132" s="80"/>
      <c r="AC132" s="80"/>
    </row>
    <row r="133" spans="1:29" ht="39.950000000000003" customHeight="1" x14ac:dyDescent="0.25">
      <c r="A133" s="80" t="s">
        <v>794</v>
      </c>
      <c r="B133" s="85" t="s">
        <v>795</v>
      </c>
      <c r="C133" s="49" t="s">
        <v>19</v>
      </c>
      <c r="D133" s="49" t="s">
        <v>468</v>
      </c>
      <c r="E133" s="62" t="s">
        <v>136</v>
      </c>
      <c r="F133" s="62" t="s">
        <v>17</v>
      </c>
      <c r="G133" s="46">
        <v>43217</v>
      </c>
      <c r="H133" s="47">
        <v>43221</v>
      </c>
      <c r="I133" s="49">
        <v>4</v>
      </c>
      <c r="J133" s="62" t="s">
        <v>173</v>
      </c>
      <c r="K133" s="64" t="s">
        <v>554</v>
      </c>
      <c r="L133" s="76" t="s">
        <v>415</v>
      </c>
      <c r="M133" s="81" t="s">
        <v>417</v>
      </c>
      <c r="N133" s="81"/>
      <c r="O133" s="81" t="s">
        <v>1209</v>
      </c>
      <c r="P133" s="81" t="s">
        <v>1209</v>
      </c>
      <c r="Q133" s="50">
        <v>0</v>
      </c>
      <c r="R133" s="78">
        <v>0</v>
      </c>
      <c r="S133" s="79" t="s">
        <v>464</v>
      </c>
      <c r="T133" s="82" t="s">
        <v>413</v>
      </c>
      <c r="U133" s="93" t="s">
        <v>953</v>
      </c>
      <c r="V133" s="103" t="s">
        <v>1718</v>
      </c>
      <c r="W133" s="101" t="s">
        <v>796</v>
      </c>
      <c r="X133" s="90" t="s">
        <v>952</v>
      </c>
      <c r="Y133" s="91" t="s">
        <v>79</v>
      </c>
      <c r="Z133" s="92"/>
      <c r="AA133" s="80"/>
      <c r="AB133" s="80"/>
      <c r="AC133" s="80"/>
    </row>
    <row r="134" spans="1:29" ht="39.950000000000003" customHeight="1" x14ac:dyDescent="0.25">
      <c r="A134" s="80" t="s">
        <v>797</v>
      </c>
      <c r="B134" s="85" t="s">
        <v>799</v>
      </c>
      <c r="C134" s="49" t="s">
        <v>19</v>
      </c>
      <c r="D134" s="49" t="s">
        <v>468</v>
      </c>
      <c r="E134" s="62" t="s">
        <v>798</v>
      </c>
      <c r="F134" s="62" t="s">
        <v>17</v>
      </c>
      <c r="G134" s="46">
        <v>43222</v>
      </c>
      <c r="H134" s="47">
        <v>43223</v>
      </c>
      <c r="I134" s="49">
        <v>1</v>
      </c>
      <c r="J134" s="62" t="s">
        <v>175</v>
      </c>
      <c r="K134" s="64" t="s">
        <v>554</v>
      </c>
      <c r="L134" s="76" t="s">
        <v>461</v>
      </c>
      <c r="M134" s="81" t="s">
        <v>465</v>
      </c>
      <c r="N134" s="81"/>
      <c r="O134" s="81" t="s">
        <v>79</v>
      </c>
      <c r="P134" s="81" t="s">
        <v>79</v>
      </c>
      <c r="Q134" s="50"/>
      <c r="R134" s="78"/>
      <c r="S134" s="79" t="s">
        <v>341</v>
      </c>
      <c r="T134" s="82" t="s">
        <v>1563</v>
      </c>
      <c r="U134" s="93" t="s">
        <v>1568</v>
      </c>
      <c r="V134" s="103" t="s">
        <v>1561</v>
      </c>
      <c r="W134" s="101" t="s">
        <v>1569</v>
      </c>
      <c r="X134" s="90" t="s">
        <v>146</v>
      </c>
      <c r="Y134" s="91" t="s">
        <v>79</v>
      </c>
      <c r="Z134" s="92"/>
      <c r="AA134" s="80"/>
      <c r="AB134" s="80"/>
      <c r="AC134" s="80"/>
    </row>
    <row r="135" spans="1:29" ht="39.950000000000003" customHeight="1" x14ac:dyDescent="0.25">
      <c r="A135" s="80" t="s">
        <v>800</v>
      </c>
      <c r="B135" s="85" t="s">
        <v>801</v>
      </c>
      <c r="C135" s="49" t="s">
        <v>19</v>
      </c>
      <c r="D135" s="49" t="s">
        <v>468</v>
      </c>
      <c r="E135" s="62" t="s">
        <v>108</v>
      </c>
      <c r="F135" s="62"/>
      <c r="G135" s="46">
        <v>43223</v>
      </c>
      <c r="H135" s="47">
        <v>43224</v>
      </c>
      <c r="I135" s="49">
        <v>1</v>
      </c>
      <c r="J135" s="62" t="s">
        <v>179</v>
      </c>
      <c r="K135" s="64" t="s">
        <v>555</v>
      </c>
      <c r="L135" s="76" t="s">
        <v>617</v>
      </c>
      <c r="M135" s="81" t="s">
        <v>803</v>
      </c>
      <c r="N135" s="81"/>
      <c r="O135" s="81"/>
      <c r="P135" s="81"/>
      <c r="Q135" s="50"/>
      <c r="R135" s="78"/>
      <c r="S135" s="79" t="s">
        <v>582</v>
      </c>
      <c r="T135" s="82" t="s">
        <v>58</v>
      </c>
      <c r="U135" s="93" t="s">
        <v>62</v>
      </c>
      <c r="V135" s="103" t="s">
        <v>68</v>
      </c>
      <c r="W135" s="100" t="s">
        <v>802</v>
      </c>
      <c r="X135" s="90" t="s">
        <v>1</v>
      </c>
      <c r="Y135" s="91"/>
      <c r="Z135" s="92"/>
      <c r="AA135" s="80"/>
      <c r="AB135" s="80"/>
      <c r="AC135" s="80"/>
    </row>
    <row r="136" spans="1:29" ht="39.950000000000003" customHeight="1" x14ac:dyDescent="0.25">
      <c r="A136" s="80" t="s">
        <v>804</v>
      </c>
      <c r="B136" s="85" t="s">
        <v>805</v>
      </c>
      <c r="C136" s="49" t="s">
        <v>18</v>
      </c>
      <c r="D136" s="49" t="s">
        <v>468</v>
      </c>
      <c r="E136" s="62" t="s">
        <v>109</v>
      </c>
      <c r="F136" s="62" t="s">
        <v>17</v>
      </c>
      <c r="G136" s="46">
        <v>43224</v>
      </c>
      <c r="H136" s="47"/>
      <c r="I136" s="49">
        <v>270.72000000000003</v>
      </c>
      <c r="J136" s="62" t="s">
        <v>183</v>
      </c>
      <c r="K136" s="64" t="s">
        <v>555</v>
      </c>
      <c r="L136" s="76" t="s">
        <v>387</v>
      </c>
      <c r="M136" s="81" t="s">
        <v>314</v>
      </c>
      <c r="N136" s="81" t="s">
        <v>285</v>
      </c>
      <c r="O136" s="81" t="s">
        <v>285</v>
      </c>
      <c r="P136" s="81" t="s">
        <v>79</v>
      </c>
      <c r="Q136" s="50">
        <v>0</v>
      </c>
      <c r="R136" s="78">
        <v>0</v>
      </c>
      <c r="S136" s="79" t="s">
        <v>508</v>
      </c>
      <c r="T136" s="82" t="s">
        <v>59</v>
      </c>
      <c r="U136" s="93" t="s">
        <v>285</v>
      </c>
      <c r="V136" s="103" t="s">
        <v>285</v>
      </c>
      <c r="W136" s="100" t="s">
        <v>1038</v>
      </c>
      <c r="X136" s="90" t="s">
        <v>1</v>
      </c>
      <c r="Y136" s="91" t="s">
        <v>79</v>
      </c>
      <c r="Z136" s="92"/>
      <c r="AA136" s="80"/>
      <c r="AB136" s="80"/>
      <c r="AC136" s="80"/>
    </row>
    <row r="137" spans="1:29" ht="39.950000000000003" customHeight="1" x14ac:dyDescent="0.25">
      <c r="A137" s="80" t="s">
        <v>806</v>
      </c>
      <c r="B137" s="85" t="s">
        <v>808</v>
      </c>
      <c r="C137" s="49" t="s">
        <v>19</v>
      </c>
      <c r="D137" s="49" t="s">
        <v>468</v>
      </c>
      <c r="E137" s="62" t="s">
        <v>807</v>
      </c>
      <c r="F137" s="62"/>
      <c r="G137" s="46">
        <v>43224</v>
      </c>
      <c r="H137" s="47">
        <v>43236</v>
      </c>
      <c r="I137" s="49">
        <v>12</v>
      </c>
      <c r="J137" s="62" t="s">
        <v>166</v>
      </c>
      <c r="K137" s="64" t="s">
        <v>554</v>
      </c>
      <c r="L137" s="76" t="s">
        <v>809</v>
      </c>
      <c r="M137" s="81" t="s">
        <v>417</v>
      </c>
      <c r="N137" s="81"/>
      <c r="O137" s="81"/>
      <c r="P137" s="81"/>
      <c r="Q137" s="50"/>
      <c r="R137" s="78"/>
      <c r="S137" s="79" t="s">
        <v>464</v>
      </c>
      <c r="T137" s="82" t="s">
        <v>413</v>
      </c>
      <c r="U137" s="93"/>
      <c r="V137" s="103" t="s">
        <v>450</v>
      </c>
      <c r="W137" s="101" t="s">
        <v>841</v>
      </c>
      <c r="X137" s="90"/>
      <c r="Y137" s="91"/>
      <c r="Z137" s="92"/>
      <c r="AA137" s="80"/>
      <c r="AB137" s="80"/>
      <c r="AC137" s="80"/>
    </row>
    <row r="138" spans="1:29" ht="39.950000000000003" customHeight="1" x14ac:dyDescent="0.25">
      <c r="A138" s="80" t="s">
        <v>810</v>
      </c>
      <c r="B138" s="85" t="s">
        <v>811</v>
      </c>
      <c r="C138" s="49" t="s">
        <v>19</v>
      </c>
      <c r="D138" s="49" t="s">
        <v>468</v>
      </c>
      <c r="E138" s="62" t="s">
        <v>14</v>
      </c>
      <c r="F138" s="62" t="s">
        <v>17</v>
      </c>
      <c r="G138" s="46">
        <v>43227</v>
      </c>
      <c r="H138" s="47">
        <v>43320</v>
      </c>
      <c r="I138" s="49">
        <v>93</v>
      </c>
      <c r="J138" s="62" t="s">
        <v>170</v>
      </c>
      <c r="K138" s="64" t="s">
        <v>554</v>
      </c>
      <c r="L138" s="76" t="s">
        <v>247</v>
      </c>
      <c r="M138" s="81" t="s">
        <v>212</v>
      </c>
      <c r="N138" s="81"/>
      <c r="O138" s="81"/>
      <c r="P138" s="81"/>
      <c r="Q138" s="50">
        <v>0</v>
      </c>
      <c r="R138" s="78">
        <v>0</v>
      </c>
      <c r="S138" s="79" t="s">
        <v>582</v>
      </c>
      <c r="T138" s="82" t="s">
        <v>59</v>
      </c>
      <c r="U138" s="93" t="s">
        <v>1015</v>
      </c>
      <c r="V138" s="103" t="s">
        <v>991</v>
      </c>
      <c r="W138" s="100" t="s">
        <v>1127</v>
      </c>
      <c r="X138" s="90" t="s">
        <v>146</v>
      </c>
      <c r="Y138" s="91" t="s">
        <v>79</v>
      </c>
      <c r="Z138" s="92" t="s">
        <v>816</v>
      </c>
      <c r="AA138" s="80"/>
      <c r="AB138" s="80"/>
      <c r="AC138" s="80"/>
    </row>
    <row r="139" spans="1:29" ht="39.950000000000003" customHeight="1" x14ac:dyDescent="0.25">
      <c r="A139" s="80" t="s">
        <v>812</v>
      </c>
      <c r="B139" s="86" t="s">
        <v>813</v>
      </c>
      <c r="C139" s="49" t="s">
        <v>19</v>
      </c>
      <c r="D139" s="49" t="s">
        <v>468</v>
      </c>
      <c r="E139" s="62" t="s">
        <v>14</v>
      </c>
      <c r="F139" s="62" t="s">
        <v>17</v>
      </c>
      <c r="G139" s="46">
        <v>43227</v>
      </c>
      <c r="H139" s="47">
        <v>43249</v>
      </c>
      <c r="I139" s="49">
        <v>22</v>
      </c>
      <c r="J139" s="62" t="s">
        <v>393</v>
      </c>
      <c r="K139" s="64" t="s">
        <v>554</v>
      </c>
      <c r="L139" s="76" t="s">
        <v>461</v>
      </c>
      <c r="M139" s="81" t="s">
        <v>465</v>
      </c>
      <c r="N139" s="81"/>
      <c r="O139" s="81" t="s">
        <v>79</v>
      </c>
      <c r="P139" s="81" t="s">
        <v>79</v>
      </c>
      <c r="Q139" s="50"/>
      <c r="R139" s="78"/>
      <c r="S139" s="79" t="s">
        <v>341</v>
      </c>
      <c r="T139" s="82" t="s">
        <v>60</v>
      </c>
      <c r="U139" s="93" t="s">
        <v>80</v>
      </c>
      <c r="V139" s="103" t="s">
        <v>311</v>
      </c>
      <c r="W139" s="100" t="s">
        <v>859</v>
      </c>
      <c r="X139" s="90" t="s">
        <v>146</v>
      </c>
      <c r="Y139" s="91" t="s">
        <v>79</v>
      </c>
      <c r="Z139" s="92"/>
      <c r="AA139" s="80"/>
      <c r="AB139" s="80"/>
      <c r="AC139" s="80"/>
    </row>
    <row r="140" spans="1:29" ht="39.950000000000003" customHeight="1" x14ac:dyDescent="0.25">
      <c r="A140" s="80" t="s">
        <v>817</v>
      </c>
      <c r="B140" s="85" t="s">
        <v>818</v>
      </c>
      <c r="C140" s="49" t="s">
        <v>19</v>
      </c>
      <c r="D140" s="49" t="s">
        <v>468</v>
      </c>
      <c r="E140" s="62" t="s">
        <v>17</v>
      </c>
      <c r="F140" s="62"/>
      <c r="G140" s="46">
        <v>43228</v>
      </c>
      <c r="H140" s="47">
        <v>43231</v>
      </c>
      <c r="I140" s="49">
        <v>3</v>
      </c>
      <c r="J140" s="62" t="s">
        <v>660</v>
      </c>
      <c r="K140" s="64" t="s">
        <v>556</v>
      </c>
      <c r="L140" s="76" t="s">
        <v>542</v>
      </c>
      <c r="M140" s="81" t="s">
        <v>437</v>
      </c>
      <c r="N140" s="81"/>
      <c r="O140" s="81"/>
      <c r="P140" s="81"/>
      <c r="Q140" s="50"/>
      <c r="R140" s="78"/>
      <c r="S140" s="79" t="s">
        <v>464</v>
      </c>
      <c r="T140" s="82" t="s">
        <v>414</v>
      </c>
      <c r="U140" s="93"/>
      <c r="V140" s="103" t="s">
        <v>450</v>
      </c>
      <c r="W140" s="100" t="s">
        <v>832</v>
      </c>
      <c r="X140" s="90"/>
      <c r="Y140" s="91"/>
      <c r="Z140" s="92"/>
      <c r="AA140" s="80"/>
      <c r="AB140" s="80"/>
      <c r="AC140" s="80"/>
    </row>
    <row r="141" spans="1:29" ht="39.950000000000003" customHeight="1" x14ac:dyDescent="0.25">
      <c r="A141" s="80" t="s">
        <v>820</v>
      </c>
      <c r="B141" s="85" t="s">
        <v>821</v>
      </c>
      <c r="C141" s="49" t="s">
        <v>19</v>
      </c>
      <c r="D141" s="49" t="s">
        <v>520</v>
      </c>
      <c r="E141" s="62" t="s">
        <v>517</v>
      </c>
      <c r="F141" s="62"/>
      <c r="G141" s="46">
        <v>43228</v>
      </c>
      <c r="H141" s="47">
        <v>43231</v>
      </c>
      <c r="I141" s="49">
        <v>3</v>
      </c>
      <c r="J141" s="62" t="s">
        <v>180</v>
      </c>
      <c r="K141" s="64" t="s">
        <v>555</v>
      </c>
      <c r="L141" s="76" t="s">
        <v>819</v>
      </c>
      <c r="M141" s="81" t="s">
        <v>823</v>
      </c>
      <c r="N141" s="81"/>
      <c r="O141" s="81"/>
      <c r="P141" s="81"/>
      <c r="Q141" s="50"/>
      <c r="R141" s="78"/>
      <c r="S141" s="79" t="s">
        <v>464</v>
      </c>
      <c r="T141" s="82" t="s">
        <v>59</v>
      </c>
      <c r="U141" s="93" t="s">
        <v>62</v>
      </c>
      <c r="V141" s="103" t="s">
        <v>68</v>
      </c>
      <c r="W141" s="101" t="s">
        <v>824</v>
      </c>
      <c r="X141" s="90" t="s">
        <v>1</v>
      </c>
      <c r="Y141" s="91"/>
      <c r="Z141" s="92" t="s">
        <v>822</v>
      </c>
      <c r="AA141" s="80"/>
      <c r="AB141" s="80"/>
      <c r="AC141" s="80"/>
    </row>
    <row r="142" spans="1:29" ht="39.950000000000003" customHeight="1" x14ac:dyDescent="0.25">
      <c r="A142" s="80" t="s">
        <v>827</v>
      </c>
      <c r="B142" s="86" t="s">
        <v>828</v>
      </c>
      <c r="C142" s="49" t="s">
        <v>19</v>
      </c>
      <c r="D142" s="49" t="s">
        <v>468</v>
      </c>
      <c r="E142" s="62" t="s">
        <v>807</v>
      </c>
      <c r="F142" s="62"/>
      <c r="G142" s="46">
        <v>43231</v>
      </c>
      <c r="H142" s="47">
        <v>43264</v>
      </c>
      <c r="I142" s="49">
        <v>33</v>
      </c>
      <c r="J142" s="62" t="s">
        <v>169</v>
      </c>
      <c r="K142" s="64" t="s">
        <v>554</v>
      </c>
      <c r="L142" s="76" t="s">
        <v>461</v>
      </c>
      <c r="M142" s="81" t="s">
        <v>465</v>
      </c>
      <c r="N142" s="81"/>
      <c r="O142" s="81"/>
      <c r="P142" s="81"/>
      <c r="Q142" s="50"/>
      <c r="R142" s="78"/>
      <c r="S142" s="79" t="s">
        <v>341</v>
      </c>
      <c r="T142" s="82" t="s">
        <v>413</v>
      </c>
      <c r="U142" s="93"/>
      <c r="V142" s="103" t="s">
        <v>450</v>
      </c>
      <c r="W142" s="100" t="s">
        <v>860</v>
      </c>
      <c r="X142" s="90"/>
      <c r="Y142" s="91"/>
      <c r="Z142" s="92"/>
      <c r="AA142" s="80"/>
      <c r="AB142" s="80"/>
      <c r="AC142" s="80"/>
    </row>
    <row r="143" spans="1:29" ht="39.950000000000003" customHeight="1" x14ac:dyDescent="0.25">
      <c r="A143" s="80" t="s">
        <v>829</v>
      </c>
      <c r="B143" s="85" t="s">
        <v>830</v>
      </c>
      <c r="C143" s="49" t="s">
        <v>19</v>
      </c>
      <c r="D143" s="49" t="s">
        <v>468</v>
      </c>
      <c r="E143" s="62" t="s">
        <v>17</v>
      </c>
      <c r="F143" s="62"/>
      <c r="G143" s="46">
        <v>43231</v>
      </c>
      <c r="H143" s="47">
        <v>43277</v>
      </c>
      <c r="I143" s="49">
        <v>46</v>
      </c>
      <c r="J143" s="62" t="s">
        <v>660</v>
      </c>
      <c r="K143" s="64" t="s">
        <v>556</v>
      </c>
      <c r="L143" s="76" t="s">
        <v>542</v>
      </c>
      <c r="M143" s="81" t="s">
        <v>437</v>
      </c>
      <c r="N143" s="81"/>
      <c r="O143" s="81"/>
      <c r="P143" s="81"/>
      <c r="Q143" s="50"/>
      <c r="R143" s="78"/>
      <c r="S143" s="79" t="s">
        <v>831</v>
      </c>
      <c r="T143" s="82" t="s">
        <v>60</v>
      </c>
      <c r="U143" s="93"/>
      <c r="V143" s="103" t="s">
        <v>311</v>
      </c>
      <c r="W143" s="101" t="s">
        <v>985</v>
      </c>
      <c r="X143" s="90"/>
      <c r="Y143" s="91"/>
      <c r="Z143" s="92"/>
      <c r="AA143" s="80"/>
      <c r="AB143" s="80"/>
      <c r="AC143" s="80"/>
    </row>
    <row r="144" spans="1:29" ht="39.950000000000003" customHeight="1" x14ac:dyDescent="0.25">
      <c r="A144" s="80" t="s">
        <v>835</v>
      </c>
      <c r="B144" s="85" t="s">
        <v>836</v>
      </c>
      <c r="C144" s="49" t="s">
        <v>18</v>
      </c>
      <c r="D144" s="49" t="s">
        <v>468</v>
      </c>
      <c r="E144" s="62" t="s">
        <v>108</v>
      </c>
      <c r="F144" s="62" t="s">
        <v>17</v>
      </c>
      <c r="G144" s="46">
        <v>43231</v>
      </c>
      <c r="H144" s="47"/>
      <c r="I144" s="49">
        <v>263.72000000000003</v>
      </c>
      <c r="J144" s="62" t="s">
        <v>182</v>
      </c>
      <c r="K144" s="64" t="s">
        <v>555</v>
      </c>
      <c r="L144" s="76" t="s">
        <v>1544</v>
      </c>
      <c r="M144" s="81" t="s">
        <v>85</v>
      </c>
      <c r="N144" s="81" t="s">
        <v>1403</v>
      </c>
      <c r="O144" s="81" t="s">
        <v>1404</v>
      </c>
      <c r="P144" s="81" t="s">
        <v>79</v>
      </c>
      <c r="Q144" s="50">
        <v>0</v>
      </c>
      <c r="R144" s="78">
        <v>0</v>
      </c>
      <c r="S144" s="79" t="s">
        <v>464</v>
      </c>
      <c r="T144" s="82" t="s">
        <v>1021</v>
      </c>
      <c r="U144" s="93" t="s">
        <v>1012</v>
      </c>
      <c r="V144" s="103" t="s">
        <v>991</v>
      </c>
      <c r="W144" s="101" t="s">
        <v>1543</v>
      </c>
      <c r="X144" s="90" t="s">
        <v>1</v>
      </c>
      <c r="Y144" s="91" t="s">
        <v>79</v>
      </c>
      <c r="Z144" s="92"/>
      <c r="AA144" s="80"/>
      <c r="AB144" s="80"/>
      <c r="AC144" s="80"/>
    </row>
    <row r="145" spans="1:29" ht="39.950000000000003" customHeight="1" x14ac:dyDescent="0.25">
      <c r="A145" s="80" t="s">
        <v>837</v>
      </c>
      <c r="B145" s="85" t="s">
        <v>838</v>
      </c>
      <c r="C145" s="49" t="s">
        <v>19</v>
      </c>
      <c r="D145" s="49" t="s">
        <v>468</v>
      </c>
      <c r="E145" s="62" t="s">
        <v>16</v>
      </c>
      <c r="F145" s="62"/>
      <c r="G145" s="46">
        <v>43235</v>
      </c>
      <c r="H145" s="47">
        <v>43249</v>
      </c>
      <c r="I145" s="49">
        <v>14</v>
      </c>
      <c r="J145" s="62" t="s">
        <v>175</v>
      </c>
      <c r="K145" s="64" t="s">
        <v>554</v>
      </c>
      <c r="L145" s="76" t="s">
        <v>461</v>
      </c>
      <c r="M145" s="81" t="s">
        <v>465</v>
      </c>
      <c r="N145" s="81"/>
      <c r="O145" s="81"/>
      <c r="P145" s="81"/>
      <c r="Q145" s="50"/>
      <c r="R145" s="78"/>
      <c r="S145" s="79" t="s">
        <v>341</v>
      </c>
      <c r="T145" s="82" t="s">
        <v>60</v>
      </c>
      <c r="U145" s="93" t="s">
        <v>80</v>
      </c>
      <c r="V145" s="103" t="s">
        <v>311</v>
      </c>
      <c r="W145" s="101" t="s">
        <v>861</v>
      </c>
      <c r="X145" s="90" t="s">
        <v>89</v>
      </c>
      <c r="Y145" s="91"/>
      <c r="Z145" s="92"/>
      <c r="AA145" s="80"/>
      <c r="AB145" s="80"/>
      <c r="AC145" s="80"/>
    </row>
    <row r="146" spans="1:29" ht="39.950000000000003" customHeight="1" x14ac:dyDescent="0.25">
      <c r="A146" s="80" t="s">
        <v>843</v>
      </c>
      <c r="B146" s="85" t="s">
        <v>844</v>
      </c>
      <c r="C146" s="49" t="s">
        <v>19</v>
      </c>
      <c r="D146" s="49" t="s">
        <v>468</v>
      </c>
      <c r="E146" s="62" t="s">
        <v>108</v>
      </c>
      <c r="F146" s="62" t="s">
        <v>17</v>
      </c>
      <c r="G146" s="46">
        <v>43237</v>
      </c>
      <c r="H146" s="47">
        <v>43297</v>
      </c>
      <c r="I146" s="49">
        <v>60</v>
      </c>
      <c r="J146" s="62" t="s">
        <v>183</v>
      </c>
      <c r="K146" s="64" t="s">
        <v>555</v>
      </c>
      <c r="L146" s="76" t="s">
        <v>497</v>
      </c>
      <c r="M146" s="81" t="s">
        <v>76</v>
      </c>
      <c r="N146" s="81"/>
      <c r="O146" s="81"/>
      <c r="P146" s="81"/>
      <c r="Q146" s="50">
        <v>0</v>
      </c>
      <c r="R146" s="78">
        <v>0</v>
      </c>
      <c r="S146" s="79" t="s">
        <v>464</v>
      </c>
      <c r="T146" s="82" t="s">
        <v>58</v>
      </c>
      <c r="U146" s="93" t="s">
        <v>1013</v>
      </c>
      <c r="V146" s="103" t="s">
        <v>991</v>
      </c>
      <c r="W146" s="101" t="s">
        <v>1063</v>
      </c>
      <c r="X146" s="90" t="s">
        <v>1</v>
      </c>
      <c r="Y146" s="91" t="s">
        <v>79</v>
      </c>
      <c r="Z146" s="92" t="s">
        <v>845</v>
      </c>
      <c r="AA146" s="80"/>
      <c r="AB146" s="80"/>
      <c r="AC146" s="80"/>
    </row>
    <row r="147" spans="1:29" ht="39.950000000000003" customHeight="1" x14ac:dyDescent="0.25">
      <c r="A147" s="80" t="s">
        <v>846</v>
      </c>
      <c r="B147" s="86" t="s">
        <v>847</v>
      </c>
      <c r="C147" s="49" t="s">
        <v>19</v>
      </c>
      <c r="D147" s="49" t="s">
        <v>468</v>
      </c>
      <c r="E147" s="62" t="s">
        <v>441</v>
      </c>
      <c r="F147" s="62"/>
      <c r="G147" s="46">
        <v>43241</v>
      </c>
      <c r="H147" s="47">
        <v>43252</v>
      </c>
      <c r="I147" s="49">
        <v>11</v>
      </c>
      <c r="J147" s="62" t="s">
        <v>162</v>
      </c>
      <c r="K147" s="64" t="s">
        <v>554</v>
      </c>
      <c r="L147" s="76" t="s">
        <v>415</v>
      </c>
      <c r="M147" s="81" t="s">
        <v>339</v>
      </c>
      <c r="N147" s="81"/>
      <c r="O147" s="81"/>
      <c r="P147" s="81"/>
      <c r="Q147" s="50"/>
      <c r="R147" s="78"/>
      <c r="S147" s="79" t="s">
        <v>464</v>
      </c>
      <c r="T147" s="82" t="s">
        <v>413</v>
      </c>
      <c r="U147" s="93"/>
      <c r="V147" s="103" t="s">
        <v>450</v>
      </c>
      <c r="W147" s="100" t="s">
        <v>848</v>
      </c>
      <c r="X147" s="90"/>
      <c r="Y147" s="91"/>
      <c r="Z147" s="92"/>
      <c r="AA147" s="80"/>
      <c r="AB147" s="80"/>
      <c r="AC147" s="80"/>
    </row>
    <row r="148" spans="1:29" ht="39.950000000000003" customHeight="1" x14ac:dyDescent="0.25">
      <c r="A148" s="80" t="s">
        <v>849</v>
      </c>
      <c r="B148" s="85" t="s">
        <v>850</v>
      </c>
      <c r="C148" s="49" t="s">
        <v>19</v>
      </c>
      <c r="D148" s="49" t="s">
        <v>468</v>
      </c>
      <c r="E148" s="62" t="s">
        <v>17</v>
      </c>
      <c r="F148" s="62" t="s">
        <v>17</v>
      </c>
      <c r="G148" s="46">
        <v>43241</v>
      </c>
      <c r="H148" s="47">
        <v>43353</v>
      </c>
      <c r="I148" s="49">
        <v>112</v>
      </c>
      <c r="J148" s="62" t="s">
        <v>660</v>
      </c>
      <c r="K148" s="64" t="s">
        <v>556</v>
      </c>
      <c r="L148" s="76" t="s">
        <v>430</v>
      </c>
      <c r="M148" s="81" t="s">
        <v>433</v>
      </c>
      <c r="N148" s="81"/>
      <c r="O148" s="81" t="s">
        <v>1209</v>
      </c>
      <c r="P148" s="81" t="s">
        <v>1209</v>
      </c>
      <c r="Q148" s="50">
        <v>0</v>
      </c>
      <c r="R148" s="78">
        <v>0</v>
      </c>
      <c r="S148" s="79" t="s">
        <v>695</v>
      </c>
      <c r="T148" s="82" t="s">
        <v>59</v>
      </c>
      <c r="U148" s="93" t="s">
        <v>953</v>
      </c>
      <c r="V148" s="103" t="s">
        <v>993</v>
      </c>
      <c r="W148" s="101" t="s">
        <v>858</v>
      </c>
      <c r="X148" s="90" t="s">
        <v>952</v>
      </c>
      <c r="Y148" s="91" t="s">
        <v>79</v>
      </c>
      <c r="Z148" s="92"/>
      <c r="AA148" s="80"/>
      <c r="AB148" s="80"/>
      <c r="AC148" s="80"/>
    </row>
    <row r="149" spans="1:29" ht="39.950000000000003" customHeight="1" x14ac:dyDescent="0.25">
      <c r="A149" s="80" t="s">
        <v>853</v>
      </c>
      <c r="B149" s="85" t="s">
        <v>854</v>
      </c>
      <c r="C149" s="49" t="s">
        <v>19</v>
      </c>
      <c r="D149" s="49" t="s">
        <v>468</v>
      </c>
      <c r="E149" s="62" t="s">
        <v>17</v>
      </c>
      <c r="F149" s="62"/>
      <c r="G149" s="46">
        <v>43242</v>
      </c>
      <c r="H149" s="47">
        <v>43242</v>
      </c>
      <c r="I149" s="49">
        <v>0</v>
      </c>
      <c r="J149" s="62" t="s">
        <v>660</v>
      </c>
      <c r="K149" s="64" t="s">
        <v>556</v>
      </c>
      <c r="L149" s="76" t="s">
        <v>852</v>
      </c>
      <c r="M149" s="81" t="s">
        <v>314</v>
      </c>
      <c r="N149" s="81"/>
      <c r="O149" s="81"/>
      <c r="P149" s="81"/>
      <c r="Q149" s="50"/>
      <c r="R149" s="78"/>
      <c r="S149" s="79" t="s">
        <v>464</v>
      </c>
      <c r="T149" s="82" t="s">
        <v>414</v>
      </c>
      <c r="U149" s="93"/>
      <c r="V149" s="103" t="s">
        <v>450</v>
      </c>
      <c r="W149" s="101" t="s">
        <v>855</v>
      </c>
      <c r="X149" s="90"/>
      <c r="Y149" s="91"/>
      <c r="Z149" s="92"/>
      <c r="AA149" s="80"/>
      <c r="AB149" s="80"/>
      <c r="AC149" s="80"/>
    </row>
    <row r="150" spans="1:29" ht="39.950000000000003" customHeight="1" x14ac:dyDescent="0.25">
      <c r="A150" s="80" t="s">
        <v>865</v>
      </c>
      <c r="B150" s="85" t="s">
        <v>866</v>
      </c>
      <c r="C150" s="49" t="s">
        <v>19</v>
      </c>
      <c r="D150" s="49" t="s">
        <v>468</v>
      </c>
      <c r="E150" s="62" t="s">
        <v>136</v>
      </c>
      <c r="F150" s="62" t="s">
        <v>17</v>
      </c>
      <c r="G150" s="46">
        <v>43250</v>
      </c>
      <c r="H150" s="47">
        <v>43292</v>
      </c>
      <c r="I150" s="49">
        <v>42</v>
      </c>
      <c r="J150" s="62" t="s">
        <v>174</v>
      </c>
      <c r="K150" s="64" t="s">
        <v>554</v>
      </c>
      <c r="L150" s="76" t="s">
        <v>864</v>
      </c>
      <c r="M150" s="50" t="s">
        <v>74</v>
      </c>
      <c r="N150" s="50" t="s">
        <v>919</v>
      </c>
      <c r="O150" s="50" t="s">
        <v>274</v>
      </c>
      <c r="P150" s="50"/>
      <c r="Q150" s="50">
        <v>0</v>
      </c>
      <c r="R150" s="78">
        <v>0</v>
      </c>
      <c r="S150" s="79" t="s">
        <v>464</v>
      </c>
      <c r="T150" s="82" t="s">
        <v>59</v>
      </c>
      <c r="U150" s="93" t="s">
        <v>1015</v>
      </c>
      <c r="V150" s="103" t="s">
        <v>285</v>
      </c>
      <c r="W150" s="101" t="s">
        <v>1045</v>
      </c>
      <c r="X150" s="90" t="s">
        <v>1</v>
      </c>
      <c r="Y150" s="91" t="s">
        <v>79</v>
      </c>
      <c r="Z150" s="92"/>
      <c r="AA150" s="80"/>
      <c r="AB150" s="80"/>
      <c r="AC150" s="80"/>
    </row>
    <row r="151" spans="1:29" ht="39.950000000000003" customHeight="1" x14ac:dyDescent="0.25">
      <c r="A151" s="80" t="s">
        <v>869</v>
      </c>
      <c r="B151" s="86" t="s">
        <v>870</v>
      </c>
      <c r="C151" s="49" t="s">
        <v>19</v>
      </c>
      <c r="D151" s="49" t="s">
        <v>468</v>
      </c>
      <c r="E151" s="62" t="s">
        <v>441</v>
      </c>
      <c r="F151" s="62" t="s">
        <v>17</v>
      </c>
      <c r="G151" s="46">
        <v>43252</v>
      </c>
      <c r="H151" s="47">
        <v>43264</v>
      </c>
      <c r="I151" s="49">
        <v>12</v>
      </c>
      <c r="J151" s="62" t="s">
        <v>158</v>
      </c>
      <c r="K151" s="64" t="s">
        <v>554</v>
      </c>
      <c r="L151" s="76" t="s">
        <v>140</v>
      </c>
      <c r="M151" s="50" t="s">
        <v>140</v>
      </c>
      <c r="N151" s="50"/>
      <c r="O151" s="50" t="s">
        <v>1209</v>
      </c>
      <c r="P151" s="50" t="s">
        <v>1209</v>
      </c>
      <c r="Q151" s="50">
        <v>0</v>
      </c>
      <c r="R151" s="78">
        <v>0</v>
      </c>
      <c r="S151" s="79" t="s">
        <v>464</v>
      </c>
      <c r="T151" s="82" t="s">
        <v>1022</v>
      </c>
      <c r="U151" s="93" t="s">
        <v>1651</v>
      </c>
      <c r="V151" s="103" t="s">
        <v>1652</v>
      </c>
      <c r="W151" s="101" t="s">
        <v>902</v>
      </c>
      <c r="X151" s="90" t="s">
        <v>952</v>
      </c>
      <c r="Y151" s="91" t="s">
        <v>79</v>
      </c>
      <c r="Z151" s="92"/>
      <c r="AA151" s="80"/>
      <c r="AB151" s="80"/>
      <c r="AC151" s="80"/>
    </row>
    <row r="152" spans="1:29" ht="39.950000000000003" customHeight="1" x14ac:dyDescent="0.25">
      <c r="A152" s="80" t="s">
        <v>872</v>
      </c>
      <c r="B152" s="85" t="s">
        <v>873</v>
      </c>
      <c r="C152" s="49" t="s">
        <v>19</v>
      </c>
      <c r="D152" s="49" t="s">
        <v>468</v>
      </c>
      <c r="E152" s="62" t="s">
        <v>17</v>
      </c>
      <c r="F152" s="62"/>
      <c r="G152" s="46">
        <v>43255</v>
      </c>
      <c r="H152" s="47">
        <v>43277</v>
      </c>
      <c r="I152" s="49">
        <v>22</v>
      </c>
      <c r="J152" s="62" t="s">
        <v>172</v>
      </c>
      <c r="K152" s="64" t="s">
        <v>554</v>
      </c>
      <c r="L152" s="76" t="s">
        <v>328</v>
      </c>
      <c r="M152" s="50" t="s">
        <v>871</v>
      </c>
      <c r="N152" s="50"/>
      <c r="O152" s="50" t="s">
        <v>1209</v>
      </c>
      <c r="P152" s="50" t="s">
        <v>1209</v>
      </c>
      <c r="Q152" s="50"/>
      <c r="R152" s="78"/>
      <c r="S152" s="79" t="s">
        <v>464</v>
      </c>
      <c r="T152" s="82" t="s">
        <v>59</v>
      </c>
      <c r="U152" s="93" t="s">
        <v>82</v>
      </c>
      <c r="V152" s="103" t="s">
        <v>68</v>
      </c>
      <c r="W152" s="101" t="s">
        <v>986</v>
      </c>
      <c r="X152" s="90" t="s">
        <v>3</v>
      </c>
      <c r="Y152" s="91"/>
      <c r="Z152" s="92"/>
      <c r="AA152" s="80"/>
      <c r="AB152" s="80"/>
      <c r="AC152" s="80"/>
    </row>
    <row r="153" spans="1:29" ht="39.950000000000003" customHeight="1" x14ac:dyDescent="0.25">
      <c r="A153" s="80" t="s">
        <v>876</v>
      </c>
      <c r="B153" s="86" t="s">
        <v>877</v>
      </c>
      <c r="C153" s="49" t="s">
        <v>19</v>
      </c>
      <c r="D153" s="49" t="s">
        <v>468</v>
      </c>
      <c r="E153" s="62" t="s">
        <v>16</v>
      </c>
      <c r="F153" s="62" t="s">
        <v>938</v>
      </c>
      <c r="G153" s="46">
        <v>43259</v>
      </c>
      <c r="H153" s="47">
        <v>43388</v>
      </c>
      <c r="I153" s="49">
        <v>129</v>
      </c>
      <c r="J153" s="62" t="s">
        <v>1030</v>
      </c>
      <c r="K153" s="64" t="s">
        <v>554</v>
      </c>
      <c r="L153" s="76" t="s">
        <v>120</v>
      </c>
      <c r="M153" s="50" t="s">
        <v>76</v>
      </c>
      <c r="N153" s="50" t="s">
        <v>968</v>
      </c>
      <c r="O153" s="50" t="s">
        <v>970</v>
      </c>
      <c r="P153" s="50" t="s">
        <v>120</v>
      </c>
      <c r="Q153" s="50">
        <v>5109</v>
      </c>
      <c r="R153" s="78">
        <v>0</v>
      </c>
      <c r="S153" s="79" t="s">
        <v>464</v>
      </c>
      <c r="T153" s="82" t="s">
        <v>1022</v>
      </c>
      <c r="U153" s="93" t="s">
        <v>1713</v>
      </c>
      <c r="V153" s="103" t="s">
        <v>285</v>
      </c>
      <c r="W153" s="101" t="s">
        <v>1733</v>
      </c>
      <c r="X153" s="90" t="s">
        <v>1</v>
      </c>
      <c r="Y153" s="91" t="s">
        <v>79</v>
      </c>
      <c r="Z153" s="92"/>
      <c r="AA153" s="80"/>
      <c r="AB153" s="80"/>
      <c r="AC153" s="80"/>
    </row>
    <row r="154" spans="1:29" ht="39.950000000000003" customHeight="1" x14ac:dyDescent="0.25">
      <c r="A154" s="80" t="s">
        <v>878</v>
      </c>
      <c r="B154" s="85" t="s">
        <v>879</v>
      </c>
      <c r="C154" s="49" t="s">
        <v>19</v>
      </c>
      <c r="D154" s="49" t="s">
        <v>468</v>
      </c>
      <c r="E154" s="62" t="s">
        <v>136</v>
      </c>
      <c r="F154" s="62"/>
      <c r="G154" s="46">
        <v>43259</v>
      </c>
      <c r="H154" s="47">
        <v>43259</v>
      </c>
      <c r="I154" s="49">
        <v>0</v>
      </c>
      <c r="J154" s="62" t="s">
        <v>173</v>
      </c>
      <c r="K154" s="64" t="s">
        <v>554</v>
      </c>
      <c r="L154" s="76" t="s">
        <v>461</v>
      </c>
      <c r="M154" s="50" t="s">
        <v>465</v>
      </c>
      <c r="N154" s="50"/>
      <c r="O154" s="50"/>
      <c r="P154" s="50"/>
      <c r="Q154" s="50"/>
      <c r="R154" s="78"/>
      <c r="S154" s="79" t="s">
        <v>582</v>
      </c>
      <c r="T154" s="82" t="s">
        <v>59</v>
      </c>
      <c r="U154" s="93" t="s">
        <v>80</v>
      </c>
      <c r="V154" s="103" t="s">
        <v>311</v>
      </c>
      <c r="W154" s="100" t="s">
        <v>880</v>
      </c>
      <c r="X154" s="90"/>
      <c r="Y154" s="91"/>
      <c r="Z154" s="92"/>
      <c r="AA154" s="80"/>
      <c r="AB154" s="80"/>
      <c r="AC154" s="80"/>
    </row>
    <row r="155" spans="1:29" ht="39.950000000000003" customHeight="1" x14ac:dyDescent="0.25">
      <c r="A155" s="80" t="s">
        <v>903</v>
      </c>
      <c r="B155" s="85" t="s">
        <v>906</v>
      </c>
      <c r="C155" s="49" t="s">
        <v>18</v>
      </c>
      <c r="D155" s="49" t="s">
        <v>468</v>
      </c>
      <c r="E155" s="62" t="s">
        <v>108</v>
      </c>
      <c r="F155" s="62" t="s">
        <v>774</v>
      </c>
      <c r="G155" s="46">
        <v>43294</v>
      </c>
      <c r="H155" s="47"/>
      <c r="I155" s="49">
        <v>200.72</v>
      </c>
      <c r="J155" s="62" t="s">
        <v>182</v>
      </c>
      <c r="K155" s="64" t="s">
        <v>555</v>
      </c>
      <c r="L155" s="76" t="s">
        <v>533</v>
      </c>
      <c r="M155" s="50" t="s">
        <v>75</v>
      </c>
      <c r="N155" s="50"/>
      <c r="O155" s="50"/>
      <c r="P155" s="50"/>
      <c r="Q155" s="50">
        <v>0</v>
      </c>
      <c r="R155" s="78">
        <v>0</v>
      </c>
      <c r="S155" s="79" t="s">
        <v>464</v>
      </c>
      <c r="T155" s="82" t="s">
        <v>59</v>
      </c>
      <c r="U155" s="93" t="s">
        <v>285</v>
      </c>
      <c r="V155" s="103" t="s">
        <v>285</v>
      </c>
      <c r="W155" s="101" t="s">
        <v>1878</v>
      </c>
      <c r="X155" s="90" t="s">
        <v>1</v>
      </c>
      <c r="Y155" s="91" t="s">
        <v>79</v>
      </c>
      <c r="Z155" s="92"/>
      <c r="AA155" s="80"/>
      <c r="AB155" s="80"/>
      <c r="AC155" s="80"/>
    </row>
    <row r="156" spans="1:29" ht="39.950000000000003" customHeight="1" x14ac:dyDescent="0.25">
      <c r="A156" s="80" t="s">
        <v>904</v>
      </c>
      <c r="B156" s="85" t="s">
        <v>907</v>
      </c>
      <c r="C156" s="49" t="s">
        <v>18</v>
      </c>
      <c r="D156" s="49" t="s">
        <v>468</v>
      </c>
      <c r="E156" s="62" t="s">
        <v>108</v>
      </c>
      <c r="F156" s="62" t="s">
        <v>938</v>
      </c>
      <c r="G156" s="46">
        <v>43266</v>
      </c>
      <c r="H156" s="47"/>
      <c r="I156" s="49">
        <v>228.72</v>
      </c>
      <c r="J156" s="62" t="s">
        <v>180</v>
      </c>
      <c r="K156" s="64" t="s">
        <v>555</v>
      </c>
      <c r="L156" s="76" t="s">
        <v>84</v>
      </c>
      <c r="M156" s="50" t="s">
        <v>85</v>
      </c>
      <c r="N156" s="50"/>
      <c r="O156" s="50"/>
      <c r="P156" s="50"/>
      <c r="Q156" s="50">
        <v>0</v>
      </c>
      <c r="R156" s="78">
        <v>0</v>
      </c>
      <c r="S156" s="79" t="s">
        <v>464</v>
      </c>
      <c r="T156" s="82" t="s">
        <v>1022</v>
      </c>
      <c r="U156" s="93" t="s">
        <v>1012</v>
      </c>
      <c r="V156" s="103" t="s">
        <v>995</v>
      </c>
      <c r="W156" s="101" t="s">
        <v>1638</v>
      </c>
      <c r="X156" s="90" t="s">
        <v>1</v>
      </c>
      <c r="Y156" s="91" t="s">
        <v>79</v>
      </c>
      <c r="Z156" s="92"/>
      <c r="AA156" s="80"/>
      <c r="AB156" s="80"/>
      <c r="AC156" s="80"/>
    </row>
    <row r="157" spans="1:29" ht="39.950000000000003" customHeight="1" x14ac:dyDescent="0.25">
      <c r="A157" s="80" t="s">
        <v>905</v>
      </c>
      <c r="B157" s="85" t="s">
        <v>908</v>
      </c>
      <c r="C157" s="49" t="s">
        <v>19</v>
      </c>
      <c r="D157" s="49" t="s">
        <v>468</v>
      </c>
      <c r="E157" s="62" t="s">
        <v>108</v>
      </c>
      <c r="F157" s="62" t="s">
        <v>17</v>
      </c>
      <c r="G157" s="46">
        <v>43266</v>
      </c>
      <c r="H157" s="47">
        <v>43333</v>
      </c>
      <c r="I157" s="49">
        <v>67</v>
      </c>
      <c r="J157" s="62" t="s">
        <v>180</v>
      </c>
      <c r="K157" s="64" t="s">
        <v>555</v>
      </c>
      <c r="L157" s="76" t="s">
        <v>123</v>
      </c>
      <c r="M157" s="50" t="s">
        <v>149</v>
      </c>
      <c r="N157" s="50"/>
      <c r="O157" s="50"/>
      <c r="P157" s="50"/>
      <c r="Q157" s="50">
        <v>0</v>
      </c>
      <c r="R157" s="78">
        <v>0</v>
      </c>
      <c r="S157" s="79" t="s">
        <v>464</v>
      </c>
      <c r="T157" s="82" t="s">
        <v>1020</v>
      </c>
      <c r="U157" s="93" t="s">
        <v>953</v>
      </c>
      <c r="V157" s="103" t="s">
        <v>994</v>
      </c>
      <c r="W157" s="101" t="s">
        <v>1147</v>
      </c>
      <c r="X157" s="90" t="s">
        <v>1</v>
      </c>
      <c r="Y157" s="91" t="s">
        <v>79</v>
      </c>
      <c r="Z157" s="92" t="s">
        <v>909</v>
      </c>
      <c r="AA157" s="80"/>
      <c r="AB157" s="80"/>
      <c r="AC157" s="80"/>
    </row>
    <row r="158" spans="1:29" ht="39.950000000000003" customHeight="1" x14ac:dyDescent="0.25">
      <c r="A158" s="80" t="s">
        <v>955</v>
      </c>
      <c r="B158" s="85" t="s">
        <v>981</v>
      </c>
      <c r="C158" s="49" t="s">
        <v>19</v>
      </c>
      <c r="D158" s="49" t="s">
        <v>520</v>
      </c>
      <c r="E158" s="62" t="s">
        <v>982</v>
      </c>
      <c r="F158" s="62" t="s">
        <v>17</v>
      </c>
      <c r="G158" s="46">
        <v>43273</v>
      </c>
      <c r="H158" s="47">
        <v>43320</v>
      </c>
      <c r="I158" s="49">
        <v>47</v>
      </c>
      <c r="J158" s="62" t="s">
        <v>170</v>
      </c>
      <c r="K158" s="64" t="s">
        <v>554</v>
      </c>
      <c r="L158" s="76" t="s">
        <v>461</v>
      </c>
      <c r="M158" s="50" t="s">
        <v>437</v>
      </c>
      <c r="N158" s="50"/>
      <c r="O158" s="50"/>
      <c r="P158" s="50"/>
      <c r="Q158" s="50">
        <v>0</v>
      </c>
      <c r="R158" s="78">
        <v>0</v>
      </c>
      <c r="S158" s="79" t="s">
        <v>341</v>
      </c>
      <c r="T158" s="82" t="s">
        <v>60</v>
      </c>
      <c r="U158" s="93" t="s">
        <v>1016</v>
      </c>
      <c r="V158" s="103" t="s">
        <v>285</v>
      </c>
      <c r="W158" s="101" t="s">
        <v>1126</v>
      </c>
      <c r="X158" s="90" t="s">
        <v>1</v>
      </c>
      <c r="Y158" s="91" t="s">
        <v>79</v>
      </c>
      <c r="Z158" s="92" t="s">
        <v>962</v>
      </c>
      <c r="AA158" s="80"/>
      <c r="AB158" s="80"/>
      <c r="AC158" s="80"/>
    </row>
    <row r="159" spans="1:29" ht="39.950000000000003" customHeight="1" x14ac:dyDescent="0.25">
      <c r="A159" s="80" t="s">
        <v>983</v>
      </c>
      <c r="B159" s="86" t="s">
        <v>987</v>
      </c>
      <c r="C159" s="49" t="s">
        <v>19</v>
      </c>
      <c r="D159" s="49" t="s">
        <v>468</v>
      </c>
      <c r="E159" s="62" t="s">
        <v>988</v>
      </c>
      <c r="F159" s="62" t="s">
        <v>17</v>
      </c>
      <c r="G159" s="46">
        <v>43277</v>
      </c>
      <c r="H159" s="47">
        <v>43292</v>
      </c>
      <c r="I159" s="49">
        <v>15</v>
      </c>
      <c r="J159" s="62" t="s">
        <v>555</v>
      </c>
      <c r="K159" s="64" t="s">
        <v>555</v>
      </c>
      <c r="L159" s="76" t="s">
        <v>432</v>
      </c>
      <c r="M159" s="50" t="s">
        <v>433</v>
      </c>
      <c r="N159" s="50"/>
      <c r="O159" s="50"/>
      <c r="P159" s="50"/>
      <c r="Q159" s="50">
        <v>0</v>
      </c>
      <c r="R159" s="78">
        <v>0</v>
      </c>
      <c r="S159" s="79" t="s">
        <v>695</v>
      </c>
      <c r="T159" s="82" t="s">
        <v>60</v>
      </c>
      <c r="U159" s="93" t="s">
        <v>285</v>
      </c>
      <c r="V159" s="103" t="s">
        <v>995</v>
      </c>
      <c r="W159" s="100" t="s">
        <v>1040</v>
      </c>
      <c r="X159" s="90" t="s">
        <v>89</v>
      </c>
      <c r="Y159" s="91" t="s">
        <v>79</v>
      </c>
      <c r="Z159" s="92"/>
      <c r="AA159" s="80"/>
      <c r="AB159" s="80"/>
      <c r="AC159" s="80"/>
    </row>
    <row r="160" spans="1:29" ht="39.950000000000003" customHeight="1" x14ac:dyDescent="0.25">
      <c r="A160" s="80" t="s">
        <v>984</v>
      </c>
      <c r="B160" s="86" t="s">
        <v>1039</v>
      </c>
      <c r="C160" s="49" t="s">
        <v>19</v>
      </c>
      <c r="D160" s="49" t="s">
        <v>468</v>
      </c>
      <c r="E160" s="62" t="s">
        <v>16</v>
      </c>
      <c r="F160" s="62" t="s">
        <v>441</v>
      </c>
      <c r="G160" s="46">
        <v>43280</v>
      </c>
      <c r="H160" s="47">
        <v>43389</v>
      </c>
      <c r="I160" s="49">
        <v>109</v>
      </c>
      <c r="J160" s="62" t="s">
        <v>554</v>
      </c>
      <c r="K160" s="64" t="s">
        <v>554</v>
      </c>
      <c r="L160" s="76" t="s">
        <v>461</v>
      </c>
      <c r="M160" s="50" t="s">
        <v>465</v>
      </c>
      <c r="N160" s="50" t="s">
        <v>1143</v>
      </c>
      <c r="O160" s="50" t="s">
        <v>79</v>
      </c>
      <c r="P160" s="50" t="s">
        <v>79</v>
      </c>
      <c r="Q160" s="50">
        <v>0</v>
      </c>
      <c r="R160" s="78">
        <v>0</v>
      </c>
      <c r="S160" s="79" t="s">
        <v>341</v>
      </c>
      <c r="T160" s="82" t="s">
        <v>413</v>
      </c>
      <c r="U160" s="93" t="s">
        <v>953</v>
      </c>
      <c r="V160" s="103" t="s">
        <v>994</v>
      </c>
      <c r="W160" s="101" t="s">
        <v>1734</v>
      </c>
      <c r="X160" s="90" t="s">
        <v>952</v>
      </c>
      <c r="Y160" s="91" t="s">
        <v>79</v>
      </c>
      <c r="Z160" s="92" t="s">
        <v>79</v>
      </c>
      <c r="AA160" s="80"/>
      <c r="AB160" s="80"/>
      <c r="AC160" s="80"/>
    </row>
    <row r="161" spans="1:29" ht="39.950000000000003" customHeight="1" x14ac:dyDescent="0.25">
      <c r="A161" s="80" t="s">
        <v>1027</v>
      </c>
      <c r="B161" s="85" t="s">
        <v>1028</v>
      </c>
      <c r="C161" s="49" t="s">
        <v>19</v>
      </c>
      <c r="D161" s="49" t="s">
        <v>520</v>
      </c>
      <c r="E161" s="62" t="s">
        <v>136</v>
      </c>
      <c r="F161" s="62" t="s">
        <v>17</v>
      </c>
      <c r="G161" s="46">
        <v>43287</v>
      </c>
      <c r="H161" s="47">
        <v>43290</v>
      </c>
      <c r="I161" s="49">
        <v>3</v>
      </c>
      <c r="J161" s="62" t="s">
        <v>169</v>
      </c>
      <c r="K161" s="64" t="s">
        <v>554</v>
      </c>
      <c r="L161" s="76" t="s">
        <v>461</v>
      </c>
      <c r="M161" s="50" t="s">
        <v>465</v>
      </c>
      <c r="N161" s="50"/>
      <c r="O161" s="50"/>
      <c r="P161" s="50"/>
      <c r="Q161" s="50">
        <v>0</v>
      </c>
      <c r="R161" s="78">
        <v>0</v>
      </c>
      <c r="S161" s="79" t="s">
        <v>341</v>
      </c>
      <c r="T161" s="82" t="s">
        <v>1021</v>
      </c>
      <c r="U161" s="93" t="s">
        <v>1016</v>
      </c>
      <c r="V161" s="103" t="s">
        <v>285</v>
      </c>
      <c r="W161" s="101" t="s">
        <v>1042</v>
      </c>
      <c r="X161" s="90" t="s">
        <v>2</v>
      </c>
      <c r="Y161" s="91" t="s">
        <v>1029</v>
      </c>
      <c r="Z161" s="92" t="s">
        <v>79</v>
      </c>
      <c r="AA161" s="80"/>
      <c r="AB161" s="80"/>
      <c r="AC161" s="80"/>
    </row>
    <row r="162" spans="1:29" ht="39.950000000000003" customHeight="1" x14ac:dyDescent="0.25">
      <c r="A162" s="80" t="s">
        <v>1043</v>
      </c>
      <c r="B162" s="85" t="s">
        <v>1044</v>
      </c>
      <c r="C162" s="49" t="s">
        <v>19</v>
      </c>
      <c r="D162" s="49" t="s">
        <v>520</v>
      </c>
      <c r="E162" s="62" t="s">
        <v>16</v>
      </c>
      <c r="F162" s="62" t="s">
        <v>17</v>
      </c>
      <c r="G162" s="46">
        <v>43292</v>
      </c>
      <c r="H162" s="47">
        <v>43320</v>
      </c>
      <c r="I162" s="49">
        <v>28</v>
      </c>
      <c r="J162" s="62" t="s">
        <v>169</v>
      </c>
      <c r="K162" s="64" t="s">
        <v>554</v>
      </c>
      <c r="L162" s="76" t="s">
        <v>113</v>
      </c>
      <c r="M162" s="50" t="s">
        <v>75</v>
      </c>
      <c r="N162" s="50"/>
      <c r="O162" s="50"/>
      <c r="P162" s="50"/>
      <c r="Q162" s="50">
        <v>0</v>
      </c>
      <c r="R162" s="78">
        <v>0</v>
      </c>
      <c r="S162" s="79" t="s">
        <v>464</v>
      </c>
      <c r="T162" s="82" t="s">
        <v>1022</v>
      </c>
      <c r="U162" s="93" t="s">
        <v>1012</v>
      </c>
      <c r="V162" s="103" t="s">
        <v>991</v>
      </c>
      <c r="W162" s="100" t="s">
        <v>1128</v>
      </c>
      <c r="X162" s="90" t="s">
        <v>2</v>
      </c>
      <c r="Y162" s="91" t="s">
        <v>1029</v>
      </c>
      <c r="Z162" s="92" t="s">
        <v>79</v>
      </c>
      <c r="AA162" s="80"/>
      <c r="AB162" s="80"/>
      <c r="AC162" s="80"/>
    </row>
    <row r="163" spans="1:29" ht="39.950000000000003" customHeight="1" x14ac:dyDescent="0.25">
      <c r="A163" s="80" t="s">
        <v>1047</v>
      </c>
      <c r="B163" s="85" t="s">
        <v>1048</v>
      </c>
      <c r="C163" s="49" t="s">
        <v>19</v>
      </c>
      <c r="D163" s="49" t="s">
        <v>468</v>
      </c>
      <c r="E163" s="62" t="s">
        <v>16</v>
      </c>
      <c r="F163" s="62" t="s">
        <v>17</v>
      </c>
      <c r="G163" s="46">
        <v>43292</v>
      </c>
      <c r="H163" s="47">
        <v>43320</v>
      </c>
      <c r="I163" s="49">
        <v>28</v>
      </c>
      <c r="J163" s="62" t="s">
        <v>554</v>
      </c>
      <c r="K163" s="64" t="s">
        <v>554</v>
      </c>
      <c r="L163" s="76" t="s">
        <v>461</v>
      </c>
      <c r="M163" s="50" t="s">
        <v>465</v>
      </c>
      <c r="N163" s="50"/>
      <c r="O163" s="50"/>
      <c r="P163" s="50"/>
      <c r="Q163" s="50">
        <v>0</v>
      </c>
      <c r="R163" s="78">
        <v>0</v>
      </c>
      <c r="S163" s="79" t="s">
        <v>341</v>
      </c>
      <c r="T163" s="82" t="s">
        <v>1021</v>
      </c>
      <c r="U163" s="93" t="s">
        <v>953</v>
      </c>
      <c r="V163" s="103" t="s">
        <v>285</v>
      </c>
      <c r="W163" s="100" t="s">
        <v>1049</v>
      </c>
      <c r="X163" s="90" t="s">
        <v>952</v>
      </c>
      <c r="Y163" s="91" t="s">
        <v>79</v>
      </c>
      <c r="Z163" s="92" t="s">
        <v>79</v>
      </c>
      <c r="AA163" s="80"/>
      <c r="AB163" s="80"/>
      <c r="AC163" s="80"/>
    </row>
    <row r="164" spans="1:29" ht="39.950000000000003" customHeight="1" x14ac:dyDescent="0.25">
      <c r="A164" s="80" t="s">
        <v>1054</v>
      </c>
      <c r="B164" s="85" t="s">
        <v>1055</v>
      </c>
      <c r="C164" s="49" t="s">
        <v>19</v>
      </c>
      <c r="D164" s="49" t="s">
        <v>468</v>
      </c>
      <c r="E164" s="62" t="s">
        <v>686</v>
      </c>
      <c r="F164" s="62" t="s">
        <v>441</v>
      </c>
      <c r="G164" s="46">
        <v>43293</v>
      </c>
      <c r="H164" s="47">
        <v>43341</v>
      </c>
      <c r="I164" s="49">
        <v>48</v>
      </c>
      <c r="J164" s="62" t="s">
        <v>656</v>
      </c>
      <c r="K164" s="64" t="s">
        <v>556</v>
      </c>
      <c r="L164" s="76" t="s">
        <v>461</v>
      </c>
      <c r="M164" s="50" t="s">
        <v>465</v>
      </c>
      <c r="N164" s="50"/>
      <c r="O164" s="50"/>
      <c r="P164" s="50"/>
      <c r="Q164" s="50">
        <v>0</v>
      </c>
      <c r="R164" s="78">
        <v>0</v>
      </c>
      <c r="S164" s="79" t="s">
        <v>1001</v>
      </c>
      <c r="T164" s="82" t="s">
        <v>1021</v>
      </c>
      <c r="U164" s="93" t="s">
        <v>1016</v>
      </c>
      <c r="V164" s="103" t="s">
        <v>992</v>
      </c>
      <c r="W164" s="101" t="s">
        <v>1190</v>
      </c>
      <c r="X164" s="90" t="s">
        <v>89</v>
      </c>
      <c r="Y164" s="91" t="s">
        <v>79</v>
      </c>
      <c r="Z164" s="92" t="s">
        <v>79</v>
      </c>
      <c r="AA164" s="80"/>
      <c r="AB164" s="80"/>
      <c r="AC164" s="80"/>
    </row>
    <row r="165" spans="1:29" ht="39.950000000000003" customHeight="1" x14ac:dyDescent="0.25">
      <c r="A165" s="80" t="s">
        <v>1056</v>
      </c>
      <c r="B165" s="86" t="s">
        <v>1057</v>
      </c>
      <c r="C165" s="49" t="s">
        <v>18</v>
      </c>
      <c r="D165" s="49" t="s">
        <v>468</v>
      </c>
      <c r="E165" s="62" t="s">
        <v>16</v>
      </c>
      <c r="F165" s="62" t="s">
        <v>17</v>
      </c>
      <c r="G165" s="46">
        <v>43294</v>
      </c>
      <c r="H165" s="47"/>
      <c r="I165" s="49">
        <v>200.72</v>
      </c>
      <c r="J165" s="62" t="s">
        <v>172</v>
      </c>
      <c r="K165" s="64" t="s">
        <v>554</v>
      </c>
      <c r="L165" s="76" t="s">
        <v>421</v>
      </c>
      <c r="M165" s="50" t="s">
        <v>85</v>
      </c>
      <c r="N165" s="50" t="s">
        <v>84</v>
      </c>
      <c r="O165" s="50" t="s">
        <v>1209</v>
      </c>
      <c r="P165" s="50" t="s">
        <v>1209</v>
      </c>
      <c r="Q165" s="50">
        <v>0</v>
      </c>
      <c r="R165" s="78">
        <v>0</v>
      </c>
      <c r="S165" s="79" t="s">
        <v>464</v>
      </c>
      <c r="T165" s="82" t="s">
        <v>285</v>
      </c>
      <c r="U165" s="93" t="s">
        <v>1012</v>
      </c>
      <c r="V165" s="103" t="s">
        <v>285</v>
      </c>
      <c r="W165" s="101" t="s">
        <v>1219</v>
      </c>
      <c r="X165" s="90" t="s">
        <v>602</v>
      </c>
      <c r="Y165" s="91" t="s">
        <v>79</v>
      </c>
      <c r="Z165" s="92" t="s">
        <v>79</v>
      </c>
      <c r="AA165" s="80"/>
      <c r="AB165" s="80"/>
      <c r="AC165" s="80"/>
    </row>
    <row r="166" spans="1:29" ht="39.950000000000003" customHeight="1" x14ac:dyDescent="0.25">
      <c r="A166" s="80" t="s">
        <v>1060</v>
      </c>
      <c r="B166" s="85" t="s">
        <v>1061</v>
      </c>
      <c r="C166" s="49" t="s">
        <v>19</v>
      </c>
      <c r="D166" s="49" t="s">
        <v>468</v>
      </c>
      <c r="E166" s="62" t="s">
        <v>108</v>
      </c>
      <c r="F166" s="62" t="s">
        <v>17</v>
      </c>
      <c r="G166" s="46">
        <v>43294</v>
      </c>
      <c r="H166" s="47">
        <v>43294</v>
      </c>
      <c r="I166" s="49">
        <v>0</v>
      </c>
      <c r="J166" s="62" t="s">
        <v>183</v>
      </c>
      <c r="K166" s="64" t="s">
        <v>555</v>
      </c>
      <c r="L166" s="76" t="s">
        <v>1058</v>
      </c>
      <c r="M166" s="50" t="s">
        <v>750</v>
      </c>
      <c r="N166" s="50" t="s">
        <v>525</v>
      </c>
      <c r="O166" s="50" t="s">
        <v>79</v>
      </c>
      <c r="P166" s="50" t="s">
        <v>79</v>
      </c>
      <c r="Q166" s="50">
        <v>0</v>
      </c>
      <c r="R166" s="78">
        <v>0</v>
      </c>
      <c r="S166" s="79" t="s">
        <v>464</v>
      </c>
      <c r="T166" s="82" t="s">
        <v>1022</v>
      </c>
      <c r="U166" s="93" t="s">
        <v>1013</v>
      </c>
      <c r="V166" s="103" t="s">
        <v>991</v>
      </c>
      <c r="W166" s="100" t="s">
        <v>1062</v>
      </c>
      <c r="X166" s="90" t="s">
        <v>3</v>
      </c>
      <c r="Y166" s="91" t="s">
        <v>79</v>
      </c>
      <c r="Z166" s="92" t="s">
        <v>79</v>
      </c>
      <c r="AA166" s="80"/>
      <c r="AB166" s="80"/>
      <c r="AC166" s="80"/>
    </row>
    <row r="167" spans="1:29" ht="39.950000000000003" customHeight="1" x14ac:dyDescent="0.25">
      <c r="A167" s="80" t="s">
        <v>1064</v>
      </c>
      <c r="B167" s="85" t="s">
        <v>1065</v>
      </c>
      <c r="C167" s="49" t="s">
        <v>19</v>
      </c>
      <c r="D167" s="49" t="s">
        <v>468</v>
      </c>
      <c r="E167" s="62" t="s">
        <v>988</v>
      </c>
      <c r="F167" s="62" t="s">
        <v>17</v>
      </c>
      <c r="G167" s="46">
        <v>43301</v>
      </c>
      <c r="H167" s="47">
        <v>43304</v>
      </c>
      <c r="I167" s="49">
        <v>3</v>
      </c>
      <c r="J167" s="62" t="s">
        <v>555</v>
      </c>
      <c r="K167" s="64" t="s">
        <v>555</v>
      </c>
      <c r="L167" s="76" t="s">
        <v>432</v>
      </c>
      <c r="M167" s="50" t="s">
        <v>433</v>
      </c>
      <c r="N167" s="50"/>
      <c r="O167" s="50"/>
      <c r="P167" s="50"/>
      <c r="Q167" s="50">
        <v>0</v>
      </c>
      <c r="R167" s="78">
        <v>0</v>
      </c>
      <c r="S167" s="79" t="s">
        <v>695</v>
      </c>
      <c r="T167" s="82" t="s">
        <v>1022</v>
      </c>
      <c r="U167" s="93" t="s">
        <v>1006</v>
      </c>
      <c r="V167" s="103" t="s">
        <v>995</v>
      </c>
      <c r="W167" s="101" t="s">
        <v>1066</v>
      </c>
      <c r="X167" s="90" t="s">
        <v>3</v>
      </c>
      <c r="Y167" s="91" t="s">
        <v>79</v>
      </c>
      <c r="Z167" s="92" t="s">
        <v>79</v>
      </c>
      <c r="AA167" s="80"/>
      <c r="AB167" s="80"/>
      <c r="AC167" s="80"/>
    </row>
    <row r="168" spans="1:29" ht="39.950000000000003" customHeight="1" x14ac:dyDescent="0.25">
      <c r="A168" s="80" t="s">
        <v>1069</v>
      </c>
      <c r="B168" s="85" t="s">
        <v>1070</v>
      </c>
      <c r="C168" s="49" t="s">
        <v>19</v>
      </c>
      <c r="D168" s="49" t="s">
        <v>468</v>
      </c>
      <c r="E168" s="62" t="s">
        <v>988</v>
      </c>
      <c r="F168" s="62" t="s">
        <v>17</v>
      </c>
      <c r="G168" s="46">
        <v>43305</v>
      </c>
      <c r="H168" s="47">
        <v>43314</v>
      </c>
      <c r="I168" s="49">
        <v>9</v>
      </c>
      <c r="J168" s="62" t="s">
        <v>555</v>
      </c>
      <c r="K168" s="64" t="s">
        <v>555</v>
      </c>
      <c r="L168" s="76" t="s">
        <v>1067</v>
      </c>
      <c r="M168" s="50" t="s">
        <v>433</v>
      </c>
      <c r="N168" s="50" t="s">
        <v>285</v>
      </c>
      <c r="O168" s="50" t="s">
        <v>285</v>
      </c>
      <c r="P168" s="50" t="s">
        <v>79</v>
      </c>
      <c r="Q168" s="50">
        <v>0</v>
      </c>
      <c r="R168" s="78">
        <v>0</v>
      </c>
      <c r="S168" s="79" t="s">
        <v>464</v>
      </c>
      <c r="T168" s="82" t="s">
        <v>1021</v>
      </c>
      <c r="U168" s="93" t="s">
        <v>1013</v>
      </c>
      <c r="V168" s="103" t="s">
        <v>991</v>
      </c>
      <c r="W168" s="100" t="s">
        <v>1099</v>
      </c>
      <c r="X168" s="90" t="s">
        <v>952</v>
      </c>
      <c r="Y168" s="91" t="s">
        <v>79</v>
      </c>
      <c r="Z168" s="92" t="s">
        <v>79</v>
      </c>
      <c r="AA168" s="80"/>
      <c r="AB168" s="80"/>
      <c r="AC168" s="80"/>
    </row>
    <row r="169" spans="1:29" ht="39.950000000000003" customHeight="1" x14ac:dyDescent="0.25">
      <c r="A169" s="80" t="s">
        <v>1071</v>
      </c>
      <c r="B169" s="85" t="s">
        <v>1072</v>
      </c>
      <c r="C169" s="49" t="s">
        <v>19</v>
      </c>
      <c r="D169" s="49" t="s">
        <v>468</v>
      </c>
      <c r="E169" s="62" t="s">
        <v>783</v>
      </c>
      <c r="F169" s="62" t="s">
        <v>938</v>
      </c>
      <c r="G169" s="46">
        <v>43306</v>
      </c>
      <c r="H169" s="47">
        <v>43388</v>
      </c>
      <c r="I169" s="49">
        <v>82</v>
      </c>
      <c r="J169" s="62" t="s">
        <v>175</v>
      </c>
      <c r="K169" s="64" t="s">
        <v>554</v>
      </c>
      <c r="L169" s="76" t="s">
        <v>406</v>
      </c>
      <c r="M169" s="50" t="s">
        <v>76</v>
      </c>
      <c r="N169" s="50"/>
      <c r="O169" s="50"/>
      <c r="P169" s="50" t="s">
        <v>1209</v>
      </c>
      <c r="Q169" s="50">
        <v>0</v>
      </c>
      <c r="R169" s="78">
        <v>0</v>
      </c>
      <c r="S169" s="79" t="s">
        <v>464</v>
      </c>
      <c r="T169" s="82" t="s">
        <v>1022</v>
      </c>
      <c r="U169" s="93" t="s">
        <v>1014</v>
      </c>
      <c r="V169" s="103" t="s">
        <v>993</v>
      </c>
      <c r="W169" s="101" t="s">
        <v>1735</v>
      </c>
      <c r="X169" s="90" t="s">
        <v>1</v>
      </c>
      <c r="Y169" s="91" t="s">
        <v>1073</v>
      </c>
      <c r="Z169" s="92" t="s">
        <v>79</v>
      </c>
      <c r="AA169" s="80"/>
      <c r="AB169" s="80"/>
      <c r="AC169" s="80"/>
    </row>
    <row r="170" spans="1:29" ht="39.950000000000003" customHeight="1" x14ac:dyDescent="0.25">
      <c r="A170" s="80" t="s">
        <v>1074</v>
      </c>
      <c r="B170" s="85" t="s">
        <v>1075</v>
      </c>
      <c r="C170" s="49" t="s">
        <v>19</v>
      </c>
      <c r="D170" s="49" t="s">
        <v>468</v>
      </c>
      <c r="E170" s="62" t="s">
        <v>108</v>
      </c>
      <c r="F170" s="62" t="s">
        <v>17</v>
      </c>
      <c r="G170" s="46">
        <v>43307</v>
      </c>
      <c r="H170" s="47">
        <v>43348</v>
      </c>
      <c r="I170" s="49">
        <v>41</v>
      </c>
      <c r="J170" s="62" t="s">
        <v>183</v>
      </c>
      <c r="K170" s="64" t="s">
        <v>555</v>
      </c>
      <c r="L170" s="76" t="s">
        <v>432</v>
      </c>
      <c r="M170" s="50" t="s">
        <v>433</v>
      </c>
      <c r="N170" s="50"/>
      <c r="O170" s="50" t="s">
        <v>1209</v>
      </c>
      <c r="P170" s="50" t="s">
        <v>1209</v>
      </c>
      <c r="Q170" s="50">
        <v>0</v>
      </c>
      <c r="R170" s="78">
        <v>0</v>
      </c>
      <c r="S170" s="79" t="s">
        <v>695</v>
      </c>
      <c r="T170" s="82" t="s">
        <v>1021</v>
      </c>
      <c r="U170" s="93" t="s">
        <v>1013</v>
      </c>
      <c r="V170" s="103" t="s">
        <v>995</v>
      </c>
      <c r="W170" s="101" t="s">
        <v>1220</v>
      </c>
      <c r="X170" s="90" t="s">
        <v>146</v>
      </c>
      <c r="Y170" s="91" t="s">
        <v>1076</v>
      </c>
      <c r="Z170" s="92" t="s">
        <v>1077</v>
      </c>
      <c r="AA170" s="80"/>
      <c r="AB170" s="80"/>
      <c r="AC170" s="80"/>
    </row>
    <row r="171" spans="1:29" ht="39.950000000000003" customHeight="1" x14ac:dyDescent="0.25">
      <c r="A171" s="80" t="s">
        <v>1078</v>
      </c>
      <c r="B171" s="86" t="s">
        <v>1079</v>
      </c>
      <c r="C171" s="49" t="s">
        <v>18</v>
      </c>
      <c r="D171" s="49" t="s">
        <v>468</v>
      </c>
      <c r="E171" s="62" t="s">
        <v>108</v>
      </c>
      <c r="F171" s="62" t="s">
        <v>938</v>
      </c>
      <c r="G171" s="46">
        <v>43307</v>
      </c>
      <c r="H171" s="47"/>
      <c r="I171" s="49">
        <v>187.72</v>
      </c>
      <c r="J171" s="62" t="s">
        <v>577</v>
      </c>
      <c r="K171" s="64" t="s">
        <v>555</v>
      </c>
      <c r="L171" s="76" t="s">
        <v>84</v>
      </c>
      <c r="M171" s="50" t="s">
        <v>85</v>
      </c>
      <c r="N171" s="50"/>
      <c r="O171" s="50"/>
      <c r="P171" s="50"/>
      <c r="Q171" s="50">
        <v>0</v>
      </c>
      <c r="R171" s="78">
        <v>0</v>
      </c>
      <c r="S171" s="79" t="s">
        <v>464</v>
      </c>
      <c r="T171" s="82" t="s">
        <v>1022</v>
      </c>
      <c r="U171" s="93" t="s">
        <v>1013</v>
      </c>
      <c r="V171" s="103" t="s">
        <v>285</v>
      </c>
      <c r="W171" s="101" t="s">
        <v>1639</v>
      </c>
      <c r="X171" s="90" t="s">
        <v>1</v>
      </c>
      <c r="Y171" s="91" t="s">
        <v>1076</v>
      </c>
      <c r="Z171" s="92" t="s">
        <v>79</v>
      </c>
      <c r="AA171" s="80"/>
      <c r="AB171" s="80"/>
      <c r="AC171" s="80"/>
    </row>
    <row r="172" spans="1:29" ht="39.950000000000003" customHeight="1" x14ac:dyDescent="0.25">
      <c r="A172" s="80" t="s">
        <v>1082</v>
      </c>
      <c r="B172" s="86" t="s">
        <v>1083</v>
      </c>
      <c r="C172" s="49" t="s">
        <v>18</v>
      </c>
      <c r="D172" s="49" t="s">
        <v>468</v>
      </c>
      <c r="E172" s="62" t="s">
        <v>17</v>
      </c>
      <c r="F172" s="62" t="s">
        <v>17</v>
      </c>
      <c r="G172" s="46">
        <v>43308</v>
      </c>
      <c r="H172" s="47"/>
      <c r="I172" s="49">
        <v>186.72</v>
      </c>
      <c r="J172" s="62" t="s">
        <v>862</v>
      </c>
      <c r="K172" s="64" t="s">
        <v>79</v>
      </c>
      <c r="L172" s="76" t="s">
        <v>1080</v>
      </c>
      <c r="M172" s="50" t="s">
        <v>76</v>
      </c>
      <c r="N172" s="50" t="s">
        <v>1081</v>
      </c>
      <c r="O172" s="50" t="s">
        <v>285</v>
      </c>
      <c r="P172" s="50" t="s">
        <v>79</v>
      </c>
      <c r="Q172" s="50">
        <v>0</v>
      </c>
      <c r="R172" s="78">
        <v>0</v>
      </c>
      <c r="S172" s="79" t="s">
        <v>464</v>
      </c>
      <c r="T172" s="82" t="s">
        <v>413</v>
      </c>
      <c r="U172" s="93" t="s">
        <v>150</v>
      </c>
      <c r="V172" s="103" t="s">
        <v>999</v>
      </c>
      <c r="W172" s="100" t="s">
        <v>1084</v>
      </c>
      <c r="X172" s="90" t="s">
        <v>952</v>
      </c>
      <c r="Y172" s="91" t="s">
        <v>79</v>
      </c>
      <c r="Z172" s="92" t="s">
        <v>79</v>
      </c>
      <c r="AA172" s="80"/>
      <c r="AB172" s="80"/>
      <c r="AC172" s="80"/>
    </row>
    <row r="173" spans="1:29" ht="39.950000000000003" customHeight="1" x14ac:dyDescent="0.25">
      <c r="A173" s="80" t="s">
        <v>1085</v>
      </c>
      <c r="B173" s="85" t="s">
        <v>1086</v>
      </c>
      <c r="C173" s="49" t="s">
        <v>19</v>
      </c>
      <c r="D173" s="49" t="s">
        <v>468</v>
      </c>
      <c r="E173" s="62" t="s">
        <v>17</v>
      </c>
      <c r="F173" s="62" t="s">
        <v>17</v>
      </c>
      <c r="G173" s="46">
        <v>43312</v>
      </c>
      <c r="H173" s="47">
        <v>43314</v>
      </c>
      <c r="I173" s="49">
        <v>2</v>
      </c>
      <c r="J173" s="62" t="s">
        <v>172</v>
      </c>
      <c r="K173" s="64" t="s">
        <v>554</v>
      </c>
      <c r="L173" s="76" t="s">
        <v>328</v>
      </c>
      <c r="M173" s="50" t="s">
        <v>871</v>
      </c>
      <c r="N173" s="50"/>
      <c r="O173" s="50"/>
      <c r="P173" s="50"/>
      <c r="Q173" s="50">
        <v>0</v>
      </c>
      <c r="R173" s="78">
        <v>0</v>
      </c>
      <c r="S173" s="79" t="s">
        <v>464</v>
      </c>
      <c r="T173" s="82" t="s">
        <v>1022</v>
      </c>
      <c r="U173" s="93" t="s">
        <v>1010</v>
      </c>
      <c r="V173" s="103" t="s">
        <v>991</v>
      </c>
      <c r="W173" s="100" t="s">
        <v>1098</v>
      </c>
      <c r="X173" s="90" t="s">
        <v>602</v>
      </c>
      <c r="Y173" s="91" t="s">
        <v>1087</v>
      </c>
      <c r="Z173" s="92" t="s">
        <v>79</v>
      </c>
      <c r="AA173" s="80"/>
      <c r="AB173" s="80"/>
      <c r="AC173" s="80"/>
    </row>
    <row r="174" spans="1:29" ht="39.950000000000003" customHeight="1" x14ac:dyDescent="0.25">
      <c r="A174" s="80" t="s">
        <v>1088</v>
      </c>
      <c r="B174" s="85" t="s">
        <v>1089</v>
      </c>
      <c r="C174" s="49" t="s">
        <v>19</v>
      </c>
      <c r="D174" s="49" t="s">
        <v>520</v>
      </c>
      <c r="E174" s="62" t="s">
        <v>16</v>
      </c>
      <c r="F174" s="62" t="s">
        <v>17</v>
      </c>
      <c r="G174" s="46">
        <v>43313</v>
      </c>
      <c r="H174" s="47">
        <v>43313</v>
      </c>
      <c r="I174" s="49">
        <v>0</v>
      </c>
      <c r="J174" s="62" t="s">
        <v>169</v>
      </c>
      <c r="K174" s="64" t="s">
        <v>554</v>
      </c>
      <c r="L174" s="76" t="s">
        <v>113</v>
      </c>
      <c r="M174" s="50" t="s">
        <v>75</v>
      </c>
      <c r="N174" s="50"/>
      <c r="O174" s="50"/>
      <c r="P174" s="50"/>
      <c r="Q174" s="50">
        <v>0</v>
      </c>
      <c r="R174" s="78">
        <v>0</v>
      </c>
      <c r="S174" s="79" t="s">
        <v>464</v>
      </c>
      <c r="T174" s="82" t="s">
        <v>1022</v>
      </c>
      <c r="U174" s="93" t="s">
        <v>1012</v>
      </c>
      <c r="V174" s="103" t="s">
        <v>991</v>
      </c>
      <c r="W174" s="101" t="s">
        <v>1091</v>
      </c>
      <c r="X174" s="90" t="s">
        <v>2</v>
      </c>
      <c r="Y174" s="91" t="s">
        <v>1029</v>
      </c>
      <c r="Z174" s="92" t="s">
        <v>1090</v>
      </c>
      <c r="AA174" s="80"/>
      <c r="AB174" s="80"/>
      <c r="AC174" s="80"/>
    </row>
    <row r="175" spans="1:29" ht="39.950000000000003" customHeight="1" x14ac:dyDescent="0.25">
      <c r="A175" s="80" t="s">
        <v>1095</v>
      </c>
      <c r="B175" s="85" t="s">
        <v>1096</v>
      </c>
      <c r="C175" s="49" t="s">
        <v>19</v>
      </c>
      <c r="D175" s="49" t="s">
        <v>468</v>
      </c>
      <c r="E175" s="62" t="s">
        <v>136</v>
      </c>
      <c r="F175" s="62" t="s">
        <v>17</v>
      </c>
      <c r="G175" s="46">
        <v>43314</v>
      </c>
      <c r="H175" s="47">
        <v>43314</v>
      </c>
      <c r="I175" s="49">
        <v>0</v>
      </c>
      <c r="J175" s="62" t="s">
        <v>170</v>
      </c>
      <c r="K175" s="64" t="s">
        <v>554</v>
      </c>
      <c r="L175" s="76" t="s">
        <v>1094</v>
      </c>
      <c r="M175" s="50" t="s">
        <v>187</v>
      </c>
      <c r="N175" s="50" t="s">
        <v>937</v>
      </c>
      <c r="O175" s="50" t="s">
        <v>1092</v>
      </c>
      <c r="P175" s="50" t="s">
        <v>79</v>
      </c>
      <c r="Q175" s="50">
        <v>0</v>
      </c>
      <c r="R175" s="78">
        <v>0</v>
      </c>
      <c r="S175" s="79" t="s">
        <v>582</v>
      </c>
      <c r="T175" s="82" t="s">
        <v>1019</v>
      </c>
      <c r="U175" s="93" t="s">
        <v>1015</v>
      </c>
      <c r="V175" s="103" t="s">
        <v>285</v>
      </c>
      <c r="W175" s="100" t="s">
        <v>1097</v>
      </c>
      <c r="X175" s="90" t="s">
        <v>1</v>
      </c>
      <c r="Y175" s="91" t="s">
        <v>1087</v>
      </c>
      <c r="Z175" s="92" t="s">
        <v>79</v>
      </c>
      <c r="AA175" s="80"/>
      <c r="AB175" s="80"/>
      <c r="AC175" s="80"/>
    </row>
    <row r="176" spans="1:29" ht="39.950000000000003" customHeight="1" x14ac:dyDescent="0.25">
      <c r="A176" s="80" t="s">
        <v>1100</v>
      </c>
      <c r="B176" s="85" t="s">
        <v>647</v>
      </c>
      <c r="C176" s="49" t="s">
        <v>19</v>
      </c>
      <c r="D176" s="49" t="s">
        <v>285</v>
      </c>
      <c r="E176" s="62" t="s">
        <v>108</v>
      </c>
      <c r="F176" s="62" t="s">
        <v>17</v>
      </c>
      <c r="G176" s="46">
        <v>43314</v>
      </c>
      <c r="H176" s="47">
        <v>43314</v>
      </c>
      <c r="I176" s="49">
        <v>0</v>
      </c>
      <c r="J176" s="62" t="s">
        <v>183</v>
      </c>
      <c r="K176" s="64" t="s">
        <v>555</v>
      </c>
      <c r="L176" s="76" t="s">
        <v>497</v>
      </c>
      <c r="M176" s="50" t="s">
        <v>76</v>
      </c>
      <c r="N176" s="50"/>
      <c r="O176" s="50"/>
      <c r="P176" s="50"/>
      <c r="Q176" s="50">
        <v>0</v>
      </c>
      <c r="R176" s="78">
        <v>0</v>
      </c>
      <c r="S176" s="79" t="s">
        <v>17</v>
      </c>
      <c r="T176" s="82" t="s">
        <v>285</v>
      </c>
      <c r="U176" s="93" t="s">
        <v>285</v>
      </c>
      <c r="V176" s="103" t="s">
        <v>285</v>
      </c>
      <c r="W176" s="100" t="s">
        <v>1102</v>
      </c>
      <c r="X176" s="90" t="s">
        <v>2</v>
      </c>
      <c r="Y176" s="91" t="s">
        <v>1101</v>
      </c>
      <c r="Z176" s="92" t="s">
        <v>79</v>
      </c>
      <c r="AA176" s="80"/>
      <c r="AB176" s="80"/>
      <c r="AC176" s="80"/>
    </row>
    <row r="177" spans="1:29" ht="39.950000000000003" customHeight="1" x14ac:dyDescent="0.25">
      <c r="A177" s="80" t="s">
        <v>1105</v>
      </c>
      <c r="B177" s="85" t="s">
        <v>1106</v>
      </c>
      <c r="C177" s="49" t="s">
        <v>19</v>
      </c>
      <c r="D177" s="49" t="s">
        <v>468</v>
      </c>
      <c r="E177" s="62" t="s">
        <v>441</v>
      </c>
      <c r="F177" s="62" t="s">
        <v>441</v>
      </c>
      <c r="G177" s="46">
        <v>43314</v>
      </c>
      <c r="H177" s="47">
        <v>43335</v>
      </c>
      <c r="I177" s="49">
        <v>21</v>
      </c>
      <c r="J177" s="62" t="s">
        <v>155</v>
      </c>
      <c r="K177" s="64" t="s">
        <v>554</v>
      </c>
      <c r="L177" s="76" t="s">
        <v>1103</v>
      </c>
      <c r="M177" s="50" t="s">
        <v>74</v>
      </c>
      <c r="N177" s="50" t="s">
        <v>919</v>
      </c>
      <c r="O177" s="50" t="s">
        <v>274</v>
      </c>
      <c r="P177" s="50" t="s">
        <v>79</v>
      </c>
      <c r="Q177" s="50">
        <v>0</v>
      </c>
      <c r="R177" s="78">
        <v>0</v>
      </c>
      <c r="S177" s="79" t="s">
        <v>464</v>
      </c>
      <c r="T177" s="82" t="s">
        <v>1723</v>
      </c>
      <c r="U177" s="93" t="s">
        <v>1724</v>
      </c>
      <c r="V177" s="103" t="s">
        <v>1725</v>
      </c>
      <c r="W177" s="101" t="s">
        <v>1168</v>
      </c>
      <c r="X177" s="90" t="s">
        <v>952</v>
      </c>
      <c r="Y177" s="91" t="s">
        <v>79</v>
      </c>
      <c r="Z177" s="92" t="s">
        <v>79</v>
      </c>
      <c r="AA177" s="80"/>
      <c r="AB177" s="80"/>
      <c r="AC177" s="80"/>
    </row>
    <row r="178" spans="1:29" ht="39.950000000000003" customHeight="1" x14ac:dyDescent="0.25">
      <c r="A178" s="80" t="s">
        <v>1107</v>
      </c>
      <c r="B178" s="85" t="s">
        <v>1108</v>
      </c>
      <c r="C178" s="49" t="s">
        <v>19</v>
      </c>
      <c r="D178" s="49" t="s">
        <v>468</v>
      </c>
      <c r="E178" s="62" t="s">
        <v>441</v>
      </c>
      <c r="F178" s="62" t="s">
        <v>17</v>
      </c>
      <c r="G178" s="46">
        <v>43314</v>
      </c>
      <c r="H178" s="47">
        <v>43320</v>
      </c>
      <c r="I178" s="49">
        <v>6</v>
      </c>
      <c r="J178" s="62" t="s">
        <v>170</v>
      </c>
      <c r="K178" s="64" t="s">
        <v>554</v>
      </c>
      <c r="L178" s="76" t="s">
        <v>459</v>
      </c>
      <c r="M178" s="50" t="s">
        <v>465</v>
      </c>
      <c r="N178" s="50"/>
      <c r="O178" s="50"/>
      <c r="P178" s="50"/>
      <c r="Q178" s="50">
        <v>0</v>
      </c>
      <c r="R178" s="78">
        <v>0</v>
      </c>
      <c r="S178" s="79" t="s">
        <v>341</v>
      </c>
      <c r="T178" s="82" t="s">
        <v>1021</v>
      </c>
      <c r="U178" s="93" t="s">
        <v>1016</v>
      </c>
      <c r="V178" s="103" t="s">
        <v>285</v>
      </c>
      <c r="W178" s="101" t="s">
        <v>1111</v>
      </c>
      <c r="X178" s="90" t="s">
        <v>952</v>
      </c>
      <c r="Y178" s="91" t="s">
        <v>79</v>
      </c>
      <c r="Z178" s="92" t="s">
        <v>79</v>
      </c>
      <c r="AA178" s="80"/>
      <c r="AB178" s="80"/>
      <c r="AC178" s="80"/>
    </row>
    <row r="179" spans="1:29" ht="39.950000000000003" customHeight="1" x14ac:dyDescent="0.25">
      <c r="A179" s="80" t="s">
        <v>1109</v>
      </c>
      <c r="B179" s="85" t="s">
        <v>1110</v>
      </c>
      <c r="C179" s="49" t="s">
        <v>19</v>
      </c>
      <c r="D179" s="49" t="s">
        <v>468</v>
      </c>
      <c r="E179" s="62" t="s">
        <v>441</v>
      </c>
      <c r="F179" s="62" t="s">
        <v>441</v>
      </c>
      <c r="G179" s="46">
        <v>43314</v>
      </c>
      <c r="H179" s="47">
        <v>43326</v>
      </c>
      <c r="I179" s="49">
        <v>12</v>
      </c>
      <c r="J179" s="62" t="s">
        <v>169</v>
      </c>
      <c r="K179" s="64" t="s">
        <v>554</v>
      </c>
      <c r="L179" s="76" t="s">
        <v>461</v>
      </c>
      <c r="M179" s="50" t="s">
        <v>465</v>
      </c>
      <c r="N179" s="50"/>
      <c r="O179" s="50"/>
      <c r="P179" s="50"/>
      <c r="Q179" s="50">
        <v>0</v>
      </c>
      <c r="R179" s="78">
        <v>0</v>
      </c>
      <c r="S179" s="79" t="s">
        <v>341</v>
      </c>
      <c r="T179" s="82" t="s">
        <v>1021</v>
      </c>
      <c r="U179" s="93" t="s">
        <v>1016</v>
      </c>
      <c r="V179" s="103" t="s">
        <v>285</v>
      </c>
      <c r="W179" s="101" t="s">
        <v>1135</v>
      </c>
      <c r="X179" s="90" t="s">
        <v>602</v>
      </c>
      <c r="Y179" s="91" t="s">
        <v>1029</v>
      </c>
      <c r="Z179" s="92" t="s">
        <v>79</v>
      </c>
      <c r="AA179" s="80"/>
      <c r="AB179" s="80"/>
      <c r="AC179" s="80"/>
    </row>
    <row r="180" spans="1:29" ht="39.950000000000003" customHeight="1" x14ac:dyDescent="0.25">
      <c r="A180" s="80" t="s">
        <v>1112</v>
      </c>
      <c r="B180" s="86" t="s">
        <v>1113</v>
      </c>
      <c r="C180" s="49" t="s">
        <v>19</v>
      </c>
      <c r="D180" s="49" t="s">
        <v>468</v>
      </c>
      <c r="E180" s="62" t="s">
        <v>441</v>
      </c>
      <c r="F180" s="62" t="s">
        <v>441</v>
      </c>
      <c r="G180" s="46">
        <v>43315</v>
      </c>
      <c r="H180" s="47">
        <v>43335</v>
      </c>
      <c r="I180" s="49">
        <v>20</v>
      </c>
      <c r="J180" s="62" t="s">
        <v>622</v>
      </c>
      <c r="K180" s="64" t="s">
        <v>554</v>
      </c>
      <c r="L180" s="76" t="s">
        <v>430</v>
      </c>
      <c r="M180" s="50" t="s">
        <v>433</v>
      </c>
      <c r="N180" s="50"/>
      <c r="O180" s="50" t="s">
        <v>1209</v>
      </c>
      <c r="P180" s="50" t="s">
        <v>1209</v>
      </c>
      <c r="Q180" s="50">
        <v>0</v>
      </c>
      <c r="R180" s="78">
        <v>0</v>
      </c>
      <c r="S180" s="79" t="s">
        <v>464</v>
      </c>
      <c r="T180" s="82" t="s">
        <v>414</v>
      </c>
      <c r="U180" s="93" t="s">
        <v>953</v>
      </c>
      <c r="V180" s="103" t="s">
        <v>994</v>
      </c>
      <c r="W180" s="101" t="s">
        <v>1154</v>
      </c>
      <c r="X180" s="90" t="s">
        <v>952</v>
      </c>
      <c r="Y180" s="91" t="s">
        <v>79</v>
      </c>
      <c r="Z180" s="92" t="s">
        <v>79</v>
      </c>
      <c r="AA180" s="80"/>
      <c r="AB180" s="80"/>
      <c r="AC180" s="80"/>
    </row>
    <row r="181" spans="1:29" ht="39.950000000000003" customHeight="1" x14ac:dyDescent="0.25">
      <c r="A181" s="80" t="s">
        <v>1120</v>
      </c>
      <c r="B181" s="85" t="s">
        <v>1121</v>
      </c>
      <c r="C181" s="49" t="s">
        <v>19</v>
      </c>
      <c r="D181" s="49" t="s">
        <v>520</v>
      </c>
      <c r="E181" s="62" t="s">
        <v>16</v>
      </c>
      <c r="F181" s="62" t="s">
        <v>17</v>
      </c>
      <c r="G181" s="46">
        <v>43318</v>
      </c>
      <c r="H181" s="47">
        <v>43318</v>
      </c>
      <c r="I181" s="49">
        <v>0</v>
      </c>
      <c r="J181" s="62" t="s">
        <v>169</v>
      </c>
      <c r="K181" s="64" t="s">
        <v>554</v>
      </c>
      <c r="L181" s="76" t="s">
        <v>1114</v>
      </c>
      <c r="M181" s="50" t="s">
        <v>1115</v>
      </c>
      <c r="N181" s="50" t="s">
        <v>1116</v>
      </c>
      <c r="O181" s="50" t="s">
        <v>1117</v>
      </c>
      <c r="P181" s="50" t="s">
        <v>79</v>
      </c>
      <c r="Q181" s="50">
        <v>0</v>
      </c>
      <c r="R181" s="78">
        <v>0</v>
      </c>
      <c r="S181" s="79" t="s">
        <v>464</v>
      </c>
      <c r="T181" s="82" t="s">
        <v>1022</v>
      </c>
      <c r="U181" s="93" t="s">
        <v>953</v>
      </c>
      <c r="V181" s="103" t="s">
        <v>997</v>
      </c>
      <c r="W181" s="100" t="s">
        <v>1125</v>
      </c>
      <c r="X181" s="90" t="s">
        <v>146</v>
      </c>
      <c r="Y181" s="91" t="s">
        <v>1029</v>
      </c>
      <c r="Z181" s="92" t="s">
        <v>1122</v>
      </c>
      <c r="AA181" s="80"/>
      <c r="AB181" s="80"/>
      <c r="AC181" s="80"/>
    </row>
    <row r="182" spans="1:29" ht="39.950000000000003" customHeight="1" x14ac:dyDescent="0.25">
      <c r="A182" s="80" t="s">
        <v>1123</v>
      </c>
      <c r="B182" s="85" t="s">
        <v>1124</v>
      </c>
      <c r="C182" s="49" t="s">
        <v>19</v>
      </c>
      <c r="D182" s="49" t="s">
        <v>468</v>
      </c>
      <c r="E182" s="62" t="s">
        <v>136</v>
      </c>
      <c r="F182" s="62" t="s">
        <v>441</v>
      </c>
      <c r="G182" s="46">
        <v>43318</v>
      </c>
      <c r="H182" s="47">
        <v>43341</v>
      </c>
      <c r="I182" s="49">
        <v>23</v>
      </c>
      <c r="J182" s="62" t="s">
        <v>155</v>
      </c>
      <c r="K182" s="64" t="s">
        <v>554</v>
      </c>
      <c r="L182" s="76" t="s">
        <v>313</v>
      </c>
      <c r="M182" s="50" t="s">
        <v>314</v>
      </c>
      <c r="N182" s="50"/>
      <c r="O182" s="50" t="s">
        <v>1209</v>
      </c>
      <c r="P182" s="50" t="s">
        <v>1209</v>
      </c>
      <c r="Q182" s="50">
        <v>0</v>
      </c>
      <c r="R182" s="78">
        <v>0</v>
      </c>
      <c r="S182" s="79" t="s">
        <v>582</v>
      </c>
      <c r="T182" s="82" t="s">
        <v>1726</v>
      </c>
      <c r="U182" s="93" t="s">
        <v>1727</v>
      </c>
      <c r="V182" s="103" t="s">
        <v>993</v>
      </c>
      <c r="W182" s="101" t="s">
        <v>1191</v>
      </c>
      <c r="X182" s="90" t="s">
        <v>952</v>
      </c>
      <c r="Y182" s="91" t="s">
        <v>79</v>
      </c>
      <c r="Z182" s="92" t="s">
        <v>1164</v>
      </c>
      <c r="AA182" s="80"/>
      <c r="AB182" s="80"/>
      <c r="AC182" s="80"/>
    </row>
    <row r="183" spans="1:29" ht="39.950000000000003" customHeight="1" x14ac:dyDescent="0.25">
      <c r="A183" s="80" t="s">
        <v>1129</v>
      </c>
      <c r="B183" s="85" t="s">
        <v>1130</v>
      </c>
      <c r="C183" s="49" t="s">
        <v>19</v>
      </c>
      <c r="D183" s="49" t="s">
        <v>520</v>
      </c>
      <c r="E183" s="62" t="s">
        <v>1131</v>
      </c>
      <c r="F183" s="62" t="s">
        <v>441</v>
      </c>
      <c r="G183" s="46">
        <v>43321</v>
      </c>
      <c r="H183" s="47">
        <v>43341</v>
      </c>
      <c r="I183" s="49">
        <v>20</v>
      </c>
      <c r="J183" s="62" t="s">
        <v>176</v>
      </c>
      <c r="K183" s="64" t="s">
        <v>554</v>
      </c>
      <c r="L183" s="76" t="s">
        <v>113</v>
      </c>
      <c r="M183" s="50" t="s">
        <v>75</v>
      </c>
      <c r="N183" s="50"/>
      <c r="O183" s="50"/>
      <c r="P183" s="50"/>
      <c r="Q183" s="50">
        <v>0</v>
      </c>
      <c r="R183" s="78">
        <v>0</v>
      </c>
      <c r="S183" s="79" t="s">
        <v>464</v>
      </c>
      <c r="T183" s="82" t="s">
        <v>1022</v>
      </c>
      <c r="U183" s="93" t="s">
        <v>1012</v>
      </c>
      <c r="V183" s="103" t="s">
        <v>991</v>
      </c>
      <c r="W183" s="101" t="s">
        <v>1192</v>
      </c>
      <c r="X183" s="90" t="s">
        <v>2</v>
      </c>
      <c r="Y183" s="91" t="s">
        <v>1132</v>
      </c>
      <c r="Z183" s="92" t="s">
        <v>79</v>
      </c>
      <c r="AA183" s="80"/>
      <c r="AB183" s="80"/>
      <c r="AC183" s="80"/>
    </row>
    <row r="184" spans="1:29" ht="39.950000000000003" customHeight="1" x14ac:dyDescent="0.25">
      <c r="A184" s="80" t="s">
        <v>1133</v>
      </c>
      <c r="B184" s="86" t="s">
        <v>1134</v>
      </c>
      <c r="C184" s="49" t="s">
        <v>19</v>
      </c>
      <c r="D184" s="49" t="s">
        <v>520</v>
      </c>
      <c r="E184" s="62" t="s">
        <v>441</v>
      </c>
      <c r="F184" s="62" t="s">
        <v>441</v>
      </c>
      <c r="G184" s="46">
        <v>43322</v>
      </c>
      <c r="H184" s="47">
        <v>43335</v>
      </c>
      <c r="I184" s="49">
        <v>13</v>
      </c>
      <c r="J184" s="62" t="s">
        <v>172</v>
      </c>
      <c r="K184" s="64" t="s">
        <v>554</v>
      </c>
      <c r="L184" s="76" t="s">
        <v>542</v>
      </c>
      <c r="M184" s="50" t="s">
        <v>437</v>
      </c>
      <c r="N184" s="50"/>
      <c r="O184" s="50"/>
      <c r="P184" s="50"/>
      <c r="Q184" s="50">
        <v>0</v>
      </c>
      <c r="R184" s="78">
        <v>0</v>
      </c>
      <c r="S184" s="79" t="s">
        <v>582</v>
      </c>
      <c r="T184" s="82" t="s">
        <v>1020</v>
      </c>
      <c r="U184" s="93" t="s">
        <v>1010</v>
      </c>
      <c r="V184" s="103" t="s">
        <v>996</v>
      </c>
      <c r="W184" s="101" t="s">
        <v>1159</v>
      </c>
      <c r="X184" s="90" t="s">
        <v>2</v>
      </c>
      <c r="Y184" s="91" t="s">
        <v>1132</v>
      </c>
      <c r="Z184" s="92" t="s">
        <v>79</v>
      </c>
      <c r="AA184" s="80"/>
      <c r="AB184" s="80"/>
      <c r="AC184" s="80"/>
    </row>
    <row r="185" spans="1:29" ht="39.950000000000003" customHeight="1" x14ac:dyDescent="0.25">
      <c r="A185" s="80" t="s">
        <v>1136</v>
      </c>
      <c r="B185" s="85" t="s">
        <v>1137</v>
      </c>
      <c r="C185" s="49" t="s">
        <v>19</v>
      </c>
      <c r="D185" s="49" t="s">
        <v>468</v>
      </c>
      <c r="E185" s="62" t="s">
        <v>16</v>
      </c>
      <c r="F185" s="62" t="s">
        <v>938</v>
      </c>
      <c r="G185" s="46">
        <v>43333</v>
      </c>
      <c r="H185" s="47">
        <v>43361</v>
      </c>
      <c r="I185" s="49">
        <v>28</v>
      </c>
      <c r="J185" s="62" t="s">
        <v>171</v>
      </c>
      <c r="K185" s="64" t="s">
        <v>554</v>
      </c>
      <c r="L185" s="76" t="s">
        <v>1409</v>
      </c>
      <c r="M185" s="50" t="s">
        <v>85</v>
      </c>
      <c r="N185" s="50" t="s">
        <v>1248</v>
      </c>
      <c r="O185" s="50" t="s">
        <v>1410</v>
      </c>
      <c r="P185" s="50" t="s">
        <v>79</v>
      </c>
      <c r="Q185" s="50">
        <v>0</v>
      </c>
      <c r="R185" s="78">
        <v>0</v>
      </c>
      <c r="S185" s="79" t="s">
        <v>464</v>
      </c>
      <c r="T185" s="82" t="s">
        <v>1022</v>
      </c>
      <c r="U185" s="93" t="s">
        <v>1015</v>
      </c>
      <c r="V185" s="103" t="s">
        <v>285</v>
      </c>
      <c r="W185" s="101" t="s">
        <v>1586</v>
      </c>
      <c r="X185" s="90" t="s">
        <v>1</v>
      </c>
      <c r="Y185" s="91" t="s">
        <v>1029</v>
      </c>
      <c r="Z185" s="92" t="s">
        <v>79</v>
      </c>
      <c r="AA185" s="80"/>
      <c r="AB185" s="80"/>
      <c r="AC185" s="80"/>
    </row>
    <row r="186" spans="1:29" ht="39.950000000000003" customHeight="1" x14ac:dyDescent="0.25">
      <c r="A186" s="80" t="s">
        <v>1138</v>
      </c>
      <c r="B186" s="85" t="s">
        <v>1139</v>
      </c>
      <c r="C186" s="49" t="s">
        <v>19</v>
      </c>
      <c r="D186" s="49" t="s">
        <v>520</v>
      </c>
      <c r="E186" s="62" t="s">
        <v>441</v>
      </c>
      <c r="F186" s="62" t="s">
        <v>17</v>
      </c>
      <c r="G186" s="46">
        <v>43333</v>
      </c>
      <c r="H186" s="47">
        <v>43335</v>
      </c>
      <c r="I186" s="49">
        <v>2</v>
      </c>
      <c r="J186" s="62" t="s">
        <v>172</v>
      </c>
      <c r="K186" s="64" t="s">
        <v>554</v>
      </c>
      <c r="L186" s="76" t="s">
        <v>1142</v>
      </c>
      <c r="M186" s="50" t="s">
        <v>437</v>
      </c>
      <c r="N186" s="50" t="s">
        <v>1143</v>
      </c>
      <c r="O186" s="50" t="s">
        <v>1144</v>
      </c>
      <c r="P186" s="50" t="s">
        <v>79</v>
      </c>
      <c r="Q186" s="50">
        <v>0</v>
      </c>
      <c r="R186" s="78">
        <v>0</v>
      </c>
      <c r="S186" s="79" t="s">
        <v>341</v>
      </c>
      <c r="T186" s="82" t="s">
        <v>1021</v>
      </c>
      <c r="U186" s="93" t="s">
        <v>1141</v>
      </c>
      <c r="V186" s="103" t="s">
        <v>1000</v>
      </c>
      <c r="W186" s="101" t="s">
        <v>1573</v>
      </c>
      <c r="X186" s="90" t="s">
        <v>1</v>
      </c>
      <c r="Y186" s="91" t="s">
        <v>1140</v>
      </c>
      <c r="Z186" s="92" t="s">
        <v>79</v>
      </c>
      <c r="AA186" s="80"/>
      <c r="AB186" s="80"/>
      <c r="AC186" s="80"/>
    </row>
    <row r="187" spans="1:29" ht="39.950000000000003" customHeight="1" x14ac:dyDescent="0.25">
      <c r="A187" s="80" t="s">
        <v>1149</v>
      </c>
      <c r="B187" s="85" t="s">
        <v>1150</v>
      </c>
      <c r="C187" s="49" t="s">
        <v>19</v>
      </c>
      <c r="D187" s="49" t="s">
        <v>468</v>
      </c>
      <c r="E187" s="62" t="s">
        <v>16</v>
      </c>
      <c r="F187" s="62" t="s">
        <v>441</v>
      </c>
      <c r="G187" s="46">
        <v>43334</v>
      </c>
      <c r="H187" s="47">
        <v>43335</v>
      </c>
      <c r="I187" s="49">
        <v>1</v>
      </c>
      <c r="J187" s="62" t="s">
        <v>169</v>
      </c>
      <c r="K187" s="64" t="s">
        <v>554</v>
      </c>
      <c r="L187" s="76" t="s">
        <v>925</v>
      </c>
      <c r="M187" s="50" t="s">
        <v>149</v>
      </c>
      <c r="N187" s="50"/>
      <c r="O187" s="50"/>
      <c r="P187" s="50"/>
      <c r="Q187" s="50">
        <v>0</v>
      </c>
      <c r="R187" s="78">
        <v>0</v>
      </c>
      <c r="S187" s="79" t="s">
        <v>582</v>
      </c>
      <c r="T187" s="82" t="s">
        <v>1022</v>
      </c>
      <c r="U187" s="93" t="s">
        <v>1009</v>
      </c>
      <c r="V187" s="103" t="s">
        <v>995</v>
      </c>
      <c r="W187" s="101" t="s">
        <v>1165</v>
      </c>
      <c r="X187" s="90" t="s">
        <v>3</v>
      </c>
      <c r="Y187" s="91" t="s">
        <v>1029</v>
      </c>
      <c r="Z187" s="92" t="s">
        <v>79</v>
      </c>
      <c r="AA187" s="80"/>
      <c r="AB187" s="80"/>
      <c r="AC187" s="80"/>
    </row>
    <row r="188" spans="1:29" ht="39.950000000000003" customHeight="1" x14ac:dyDescent="0.25">
      <c r="A188" s="80" t="s">
        <v>1151</v>
      </c>
      <c r="B188" s="85" t="s">
        <v>1152</v>
      </c>
      <c r="C188" s="49" t="s">
        <v>18</v>
      </c>
      <c r="D188" s="49" t="s">
        <v>468</v>
      </c>
      <c r="E188" s="62" t="s">
        <v>16</v>
      </c>
      <c r="F188" s="62" t="s">
        <v>17</v>
      </c>
      <c r="G188" s="46">
        <v>43334</v>
      </c>
      <c r="H188" s="47"/>
      <c r="I188" s="49">
        <v>160.72</v>
      </c>
      <c r="J188" s="62" t="s">
        <v>176</v>
      </c>
      <c r="K188" s="64" t="s">
        <v>554</v>
      </c>
      <c r="L188" s="76" t="s">
        <v>421</v>
      </c>
      <c r="M188" s="50" t="s">
        <v>85</v>
      </c>
      <c r="N188" s="50" t="s">
        <v>1453</v>
      </c>
      <c r="O188" s="50" t="s">
        <v>1545</v>
      </c>
      <c r="P188" s="50" t="s">
        <v>79</v>
      </c>
      <c r="Q188" s="50">
        <v>0</v>
      </c>
      <c r="R188" s="78">
        <v>0</v>
      </c>
      <c r="S188" s="79" t="s">
        <v>464</v>
      </c>
      <c r="T188" s="82" t="s">
        <v>1022</v>
      </c>
      <c r="U188" s="93" t="s">
        <v>65</v>
      </c>
      <c r="V188" s="103" t="s">
        <v>991</v>
      </c>
      <c r="W188" s="100" t="s">
        <v>1153</v>
      </c>
      <c r="X188" s="90" t="s">
        <v>1</v>
      </c>
      <c r="Y188" s="91" t="s">
        <v>1132</v>
      </c>
      <c r="Z188" s="92" t="s">
        <v>79</v>
      </c>
      <c r="AA188" s="80"/>
      <c r="AB188" s="80"/>
      <c r="AC188" s="80"/>
    </row>
    <row r="189" spans="1:29" ht="39.950000000000003" customHeight="1" x14ac:dyDescent="0.25">
      <c r="A189" s="80" t="s">
        <v>1162</v>
      </c>
      <c r="B189" s="85" t="s">
        <v>1163</v>
      </c>
      <c r="C189" s="49" t="s">
        <v>19</v>
      </c>
      <c r="D189" s="49" t="s">
        <v>468</v>
      </c>
      <c r="E189" s="62" t="s">
        <v>1166</v>
      </c>
      <c r="F189" s="62" t="s">
        <v>17</v>
      </c>
      <c r="G189" s="46">
        <v>43335</v>
      </c>
      <c r="H189" s="47">
        <v>43335</v>
      </c>
      <c r="I189" s="49">
        <v>0</v>
      </c>
      <c r="J189" s="62" t="s">
        <v>657</v>
      </c>
      <c r="K189" s="64" t="s">
        <v>556</v>
      </c>
      <c r="L189" s="76" t="s">
        <v>1160</v>
      </c>
      <c r="M189" s="50" t="s">
        <v>1155</v>
      </c>
      <c r="N189" s="50" t="s">
        <v>1156</v>
      </c>
      <c r="O189" s="50" t="s">
        <v>1157</v>
      </c>
      <c r="P189" s="50" t="s">
        <v>79</v>
      </c>
      <c r="Q189" s="50">
        <v>0</v>
      </c>
      <c r="R189" s="78">
        <v>0</v>
      </c>
      <c r="S189" s="79" t="s">
        <v>464</v>
      </c>
      <c r="T189" s="82" t="s">
        <v>1022</v>
      </c>
      <c r="U189" s="93" t="s">
        <v>1012</v>
      </c>
      <c r="V189" s="103" t="s">
        <v>996</v>
      </c>
      <c r="W189" s="100" t="s">
        <v>1175</v>
      </c>
      <c r="X189" s="90" t="s">
        <v>1</v>
      </c>
      <c r="Y189" s="91" t="s">
        <v>1167</v>
      </c>
      <c r="Z189" s="92" t="s">
        <v>79</v>
      </c>
      <c r="AA189" s="80"/>
      <c r="AB189" s="80"/>
      <c r="AC189" s="80"/>
    </row>
    <row r="190" spans="1:29" ht="39.950000000000003" customHeight="1" x14ac:dyDescent="0.25">
      <c r="A190" s="80" t="s">
        <v>1172</v>
      </c>
      <c r="B190" s="85" t="s">
        <v>1173</v>
      </c>
      <c r="C190" s="49" t="s">
        <v>19</v>
      </c>
      <c r="D190" s="49" t="s">
        <v>468</v>
      </c>
      <c r="E190" s="62" t="s">
        <v>1166</v>
      </c>
      <c r="F190" s="62" t="s">
        <v>17</v>
      </c>
      <c r="G190" s="46">
        <v>43335</v>
      </c>
      <c r="H190" s="47">
        <v>43335</v>
      </c>
      <c r="I190" s="49">
        <v>0</v>
      </c>
      <c r="J190" s="62" t="s">
        <v>656</v>
      </c>
      <c r="K190" s="64" t="s">
        <v>556</v>
      </c>
      <c r="L190" s="76" t="s">
        <v>1169</v>
      </c>
      <c r="M190" s="50" t="s">
        <v>85</v>
      </c>
      <c r="N190" s="50" t="s">
        <v>84</v>
      </c>
      <c r="O190" s="50" t="s">
        <v>1170</v>
      </c>
      <c r="P190" s="50" t="s">
        <v>79</v>
      </c>
      <c r="Q190" s="50">
        <v>0</v>
      </c>
      <c r="R190" s="78">
        <v>0</v>
      </c>
      <c r="S190" s="79" t="s">
        <v>464</v>
      </c>
      <c r="T190" s="82" t="s">
        <v>1022</v>
      </c>
      <c r="U190" s="93" t="s">
        <v>1012</v>
      </c>
      <c r="V190" s="103" t="s">
        <v>991</v>
      </c>
      <c r="W190" s="100" t="s">
        <v>1176</v>
      </c>
      <c r="X190" s="90" t="s">
        <v>1</v>
      </c>
      <c r="Y190" s="91" t="s">
        <v>1174</v>
      </c>
      <c r="Z190" s="92" t="s">
        <v>79</v>
      </c>
      <c r="AA190" s="80"/>
      <c r="AB190" s="80"/>
      <c r="AC190" s="80"/>
    </row>
    <row r="191" spans="1:29" ht="39.950000000000003" customHeight="1" x14ac:dyDescent="0.25">
      <c r="A191" s="80" t="s">
        <v>1182</v>
      </c>
      <c r="B191" s="86" t="s">
        <v>1183</v>
      </c>
      <c r="C191" s="49" t="s">
        <v>19</v>
      </c>
      <c r="D191" s="49" t="s">
        <v>520</v>
      </c>
      <c r="E191" s="62" t="s">
        <v>419</v>
      </c>
      <c r="F191" s="62" t="s">
        <v>774</v>
      </c>
      <c r="G191" s="46">
        <v>43336</v>
      </c>
      <c r="H191" s="47">
        <v>43350</v>
      </c>
      <c r="I191" s="49">
        <v>14</v>
      </c>
      <c r="J191" s="62" t="s">
        <v>166</v>
      </c>
      <c r="K191" s="64" t="s">
        <v>554</v>
      </c>
      <c r="L191" s="76" t="s">
        <v>1177</v>
      </c>
      <c r="M191" s="50" t="s">
        <v>951</v>
      </c>
      <c r="N191" s="50" t="s">
        <v>1178</v>
      </c>
      <c r="O191" s="50" t="s">
        <v>1179</v>
      </c>
      <c r="P191" s="50" t="s">
        <v>79</v>
      </c>
      <c r="Q191" s="50">
        <v>0</v>
      </c>
      <c r="R191" s="78">
        <v>0</v>
      </c>
      <c r="S191" s="79" t="s">
        <v>464</v>
      </c>
      <c r="T191" s="82" t="s">
        <v>1022</v>
      </c>
      <c r="U191" s="93" t="s">
        <v>1013</v>
      </c>
      <c r="V191" s="103" t="s">
        <v>991</v>
      </c>
      <c r="W191" s="101" t="s">
        <v>1224</v>
      </c>
      <c r="X191" s="90" t="s">
        <v>2</v>
      </c>
      <c r="Y191" s="91" t="s">
        <v>79</v>
      </c>
      <c r="Z191" s="92" t="s">
        <v>79</v>
      </c>
      <c r="AA191" s="80"/>
      <c r="AB191" s="80"/>
      <c r="AC191" s="80"/>
    </row>
    <row r="192" spans="1:29" ht="39.950000000000003" customHeight="1" x14ac:dyDescent="0.25">
      <c r="A192" s="80" t="s">
        <v>1184</v>
      </c>
      <c r="B192" s="85" t="s">
        <v>1185</v>
      </c>
      <c r="C192" s="49" t="s">
        <v>19</v>
      </c>
      <c r="D192" s="49" t="s">
        <v>520</v>
      </c>
      <c r="E192" s="62" t="s">
        <v>1166</v>
      </c>
      <c r="F192" s="62" t="s">
        <v>17</v>
      </c>
      <c r="G192" s="46">
        <v>43339</v>
      </c>
      <c r="H192" s="47">
        <v>43339</v>
      </c>
      <c r="I192" s="49">
        <v>0</v>
      </c>
      <c r="J192" s="62" t="s">
        <v>657</v>
      </c>
      <c r="K192" s="64" t="s">
        <v>556</v>
      </c>
      <c r="L192" s="76" t="s">
        <v>1142</v>
      </c>
      <c r="M192" s="50" t="s">
        <v>437</v>
      </c>
      <c r="N192" s="50" t="s">
        <v>1143</v>
      </c>
      <c r="O192" s="50" t="s">
        <v>1144</v>
      </c>
      <c r="P192" s="50" t="s">
        <v>79</v>
      </c>
      <c r="Q192" s="50">
        <v>0</v>
      </c>
      <c r="R192" s="78">
        <v>0</v>
      </c>
      <c r="S192" s="79" t="s">
        <v>1001</v>
      </c>
      <c r="T192" s="82" t="s">
        <v>1022</v>
      </c>
      <c r="U192" s="93" t="s">
        <v>1141</v>
      </c>
      <c r="V192" s="103" t="s">
        <v>993</v>
      </c>
      <c r="W192" s="100" t="s">
        <v>1186</v>
      </c>
      <c r="X192" s="90" t="s">
        <v>1</v>
      </c>
      <c r="Y192" s="91" t="s">
        <v>1167</v>
      </c>
      <c r="Z192" s="92" t="s">
        <v>79</v>
      </c>
      <c r="AA192" s="80"/>
      <c r="AB192" s="80"/>
      <c r="AC192" s="80"/>
    </row>
    <row r="193" spans="1:29" ht="39.950000000000003" customHeight="1" x14ac:dyDescent="0.25">
      <c r="A193" s="80" t="s">
        <v>1189</v>
      </c>
      <c r="B193" s="85" t="s">
        <v>1185</v>
      </c>
      <c r="C193" s="49" t="s">
        <v>19</v>
      </c>
      <c r="D193" s="49" t="s">
        <v>520</v>
      </c>
      <c r="E193" s="62" t="s">
        <v>1166</v>
      </c>
      <c r="F193" s="62" t="s">
        <v>441</v>
      </c>
      <c r="G193" s="46">
        <v>43340</v>
      </c>
      <c r="H193" s="47">
        <v>43341</v>
      </c>
      <c r="I193" s="49">
        <v>1</v>
      </c>
      <c r="J193" s="62" t="s">
        <v>656</v>
      </c>
      <c r="K193" s="64" t="s">
        <v>556</v>
      </c>
      <c r="L193" s="76" t="s">
        <v>1142</v>
      </c>
      <c r="M193" s="50" t="s">
        <v>437</v>
      </c>
      <c r="N193" s="50" t="s">
        <v>1143</v>
      </c>
      <c r="O193" s="50" t="s">
        <v>1144</v>
      </c>
      <c r="P193" s="50" t="s">
        <v>79</v>
      </c>
      <c r="Q193" s="50">
        <v>0</v>
      </c>
      <c r="R193" s="78">
        <v>0</v>
      </c>
      <c r="S193" s="79" t="s">
        <v>1001</v>
      </c>
      <c r="T193" s="82" t="s">
        <v>1018</v>
      </c>
      <c r="U193" s="93" t="s">
        <v>953</v>
      </c>
      <c r="V193" s="103" t="s">
        <v>996</v>
      </c>
      <c r="W193" s="101" t="s">
        <v>1193</v>
      </c>
      <c r="X193" s="90" t="s">
        <v>1</v>
      </c>
      <c r="Y193" s="91" t="s">
        <v>1174</v>
      </c>
      <c r="Z193" s="92" t="s">
        <v>1194</v>
      </c>
      <c r="AA193" s="80"/>
      <c r="AB193" s="80"/>
      <c r="AC193" s="80"/>
    </row>
    <row r="194" spans="1:29" ht="39.950000000000003" customHeight="1" x14ac:dyDescent="0.25">
      <c r="A194" s="80" t="s">
        <v>1199</v>
      </c>
      <c r="B194" s="85" t="s">
        <v>1200</v>
      </c>
      <c r="C194" s="49" t="s">
        <v>19</v>
      </c>
      <c r="D194" s="49" t="s">
        <v>468</v>
      </c>
      <c r="E194" s="62" t="s">
        <v>108</v>
      </c>
      <c r="F194" s="62" t="s">
        <v>938</v>
      </c>
      <c r="G194" s="46">
        <v>43341</v>
      </c>
      <c r="H194" s="47">
        <v>43371</v>
      </c>
      <c r="I194" s="49">
        <v>30</v>
      </c>
      <c r="J194" s="62" t="s">
        <v>183</v>
      </c>
      <c r="K194" s="64" t="s">
        <v>555</v>
      </c>
      <c r="L194" s="76" t="s">
        <v>1195</v>
      </c>
      <c r="M194" s="50" t="s">
        <v>149</v>
      </c>
      <c r="N194" s="50" t="s">
        <v>1196</v>
      </c>
      <c r="O194" s="50" t="s">
        <v>285</v>
      </c>
      <c r="P194" s="50" t="s">
        <v>79</v>
      </c>
      <c r="Q194" s="50">
        <v>0</v>
      </c>
      <c r="R194" s="78">
        <v>0</v>
      </c>
      <c r="S194" s="79" t="s">
        <v>464</v>
      </c>
      <c r="T194" s="82" t="s">
        <v>1021</v>
      </c>
      <c r="U194" s="93" t="s">
        <v>1011</v>
      </c>
      <c r="V194" s="103" t="s">
        <v>285</v>
      </c>
      <c r="W194" s="101" t="s">
        <v>1640</v>
      </c>
      <c r="X194" s="90" t="s">
        <v>1</v>
      </c>
      <c r="Y194" s="91" t="s">
        <v>1201</v>
      </c>
      <c r="Z194" s="92" t="s">
        <v>79</v>
      </c>
      <c r="AA194" s="80"/>
      <c r="AB194" s="80"/>
      <c r="AC194" s="80"/>
    </row>
    <row r="195" spans="1:29" ht="39.950000000000003" customHeight="1" x14ac:dyDescent="0.25">
      <c r="A195" s="80" t="s">
        <v>1202</v>
      </c>
      <c r="B195" s="85" t="s">
        <v>1203</v>
      </c>
      <c r="C195" s="49" t="s">
        <v>19</v>
      </c>
      <c r="D195" s="49" t="s">
        <v>468</v>
      </c>
      <c r="E195" s="62" t="s">
        <v>108</v>
      </c>
      <c r="F195" s="62" t="s">
        <v>17</v>
      </c>
      <c r="G195" s="46">
        <v>43341</v>
      </c>
      <c r="H195" s="47">
        <v>43342</v>
      </c>
      <c r="I195" s="49">
        <v>1</v>
      </c>
      <c r="J195" s="62" t="s">
        <v>181</v>
      </c>
      <c r="K195" s="64" t="s">
        <v>555</v>
      </c>
      <c r="L195" s="76" t="s">
        <v>1169</v>
      </c>
      <c r="M195" s="50" t="s">
        <v>85</v>
      </c>
      <c r="N195" s="50" t="s">
        <v>84</v>
      </c>
      <c r="O195" s="50" t="s">
        <v>1170</v>
      </c>
      <c r="P195" s="50" t="s">
        <v>79</v>
      </c>
      <c r="Q195" s="50">
        <v>0</v>
      </c>
      <c r="R195" s="78">
        <v>0</v>
      </c>
      <c r="S195" s="79" t="s">
        <v>108</v>
      </c>
      <c r="T195" s="82" t="s">
        <v>1022</v>
      </c>
      <c r="U195" s="93" t="s">
        <v>1013</v>
      </c>
      <c r="V195" s="103" t="s">
        <v>995</v>
      </c>
      <c r="W195" s="100" t="s">
        <v>1204</v>
      </c>
      <c r="X195" s="90" t="s">
        <v>1</v>
      </c>
      <c r="Y195" s="91" t="s">
        <v>1205</v>
      </c>
      <c r="Z195" s="92" t="s">
        <v>79</v>
      </c>
      <c r="AA195" s="80"/>
      <c r="AB195" s="80"/>
      <c r="AC195" s="80"/>
    </row>
    <row r="196" spans="1:29" ht="39.950000000000003" customHeight="1" x14ac:dyDescent="0.25">
      <c r="A196" s="80" t="s">
        <v>1206</v>
      </c>
      <c r="B196" s="85" t="s">
        <v>1207</v>
      </c>
      <c r="C196" s="49" t="s">
        <v>19</v>
      </c>
      <c r="D196" s="49" t="s">
        <v>520</v>
      </c>
      <c r="E196" s="62" t="s">
        <v>16</v>
      </c>
      <c r="F196" s="62" t="s">
        <v>441</v>
      </c>
      <c r="G196" s="46">
        <v>43342</v>
      </c>
      <c r="H196" s="47">
        <v>43343</v>
      </c>
      <c r="I196" s="49">
        <v>1</v>
      </c>
      <c r="J196" s="62" t="s">
        <v>176</v>
      </c>
      <c r="K196" s="64" t="s">
        <v>554</v>
      </c>
      <c r="L196" s="76" t="s">
        <v>113</v>
      </c>
      <c r="M196" s="50" t="s">
        <v>75</v>
      </c>
      <c r="N196" s="50"/>
      <c r="O196" s="50"/>
      <c r="P196" s="50"/>
      <c r="Q196" s="50">
        <v>0</v>
      </c>
      <c r="R196" s="78">
        <v>0</v>
      </c>
      <c r="S196" s="79" t="s">
        <v>464</v>
      </c>
      <c r="T196" s="82" t="s">
        <v>1022</v>
      </c>
      <c r="U196" s="93" t="s">
        <v>1012</v>
      </c>
      <c r="V196" s="103" t="s">
        <v>991</v>
      </c>
      <c r="W196" s="101" t="s">
        <v>1210</v>
      </c>
      <c r="X196" s="90" t="s">
        <v>2</v>
      </c>
      <c r="Y196" s="91" t="s">
        <v>1132</v>
      </c>
      <c r="Z196" s="92" t="s">
        <v>79</v>
      </c>
      <c r="AA196" s="80"/>
      <c r="AB196" s="80"/>
      <c r="AC196" s="80"/>
    </row>
    <row r="197" spans="1:29" ht="39.950000000000003" customHeight="1" x14ac:dyDescent="0.25">
      <c r="A197" s="80" t="s">
        <v>1211</v>
      </c>
      <c r="B197" s="85" t="s">
        <v>1212</v>
      </c>
      <c r="C197" s="49" t="s">
        <v>19</v>
      </c>
      <c r="D197" s="49" t="s">
        <v>520</v>
      </c>
      <c r="E197" s="62" t="s">
        <v>1131</v>
      </c>
      <c r="F197" s="62" t="s">
        <v>774</v>
      </c>
      <c r="G197" s="46">
        <v>43347</v>
      </c>
      <c r="H197" s="47">
        <v>43383</v>
      </c>
      <c r="I197" s="49">
        <v>36</v>
      </c>
      <c r="J197" s="62" t="s">
        <v>176</v>
      </c>
      <c r="K197" s="64" t="s">
        <v>554</v>
      </c>
      <c r="L197" s="76" t="s">
        <v>113</v>
      </c>
      <c r="M197" s="50" t="s">
        <v>75</v>
      </c>
      <c r="N197" s="50"/>
      <c r="O197" s="50"/>
      <c r="P197" s="50"/>
      <c r="Q197" s="50">
        <v>0</v>
      </c>
      <c r="R197" s="78">
        <v>0</v>
      </c>
      <c r="S197" s="79" t="s">
        <v>464</v>
      </c>
      <c r="T197" s="82" t="s">
        <v>1022</v>
      </c>
      <c r="U197" s="93" t="s">
        <v>1013</v>
      </c>
      <c r="V197" s="103" t="s">
        <v>991</v>
      </c>
      <c r="W197" s="101" t="s">
        <v>1714</v>
      </c>
      <c r="X197" s="90" t="s">
        <v>2</v>
      </c>
      <c r="Y197" s="91" t="s">
        <v>1132</v>
      </c>
      <c r="Z197" s="92" t="s">
        <v>79</v>
      </c>
      <c r="AA197" s="80"/>
      <c r="AB197" s="80"/>
      <c r="AC197" s="80"/>
    </row>
    <row r="198" spans="1:29" ht="39.950000000000003" customHeight="1" x14ac:dyDescent="0.25">
      <c r="A198" s="80" t="s">
        <v>1213</v>
      </c>
      <c r="B198" s="85" t="s">
        <v>1214</v>
      </c>
      <c r="C198" s="49" t="s">
        <v>19</v>
      </c>
      <c r="D198" s="49" t="s">
        <v>520</v>
      </c>
      <c r="E198" s="62" t="s">
        <v>419</v>
      </c>
      <c r="F198" s="62" t="s">
        <v>17</v>
      </c>
      <c r="G198" s="46">
        <v>43348</v>
      </c>
      <c r="H198" s="47">
        <v>43348</v>
      </c>
      <c r="I198" s="49">
        <v>0</v>
      </c>
      <c r="J198" s="62" t="s">
        <v>166</v>
      </c>
      <c r="K198" s="64" t="s">
        <v>554</v>
      </c>
      <c r="L198" s="76" t="s">
        <v>1177</v>
      </c>
      <c r="M198" s="50" t="s">
        <v>951</v>
      </c>
      <c r="N198" s="50" t="s">
        <v>1178</v>
      </c>
      <c r="O198" s="50" t="s">
        <v>1179</v>
      </c>
      <c r="P198" s="50" t="s">
        <v>79</v>
      </c>
      <c r="Q198" s="50">
        <v>0</v>
      </c>
      <c r="R198" s="78">
        <v>0</v>
      </c>
      <c r="S198" s="79" t="s">
        <v>464</v>
      </c>
      <c r="T198" s="82" t="s">
        <v>1022</v>
      </c>
      <c r="U198" s="93" t="s">
        <v>1012</v>
      </c>
      <c r="V198" s="103" t="s">
        <v>994</v>
      </c>
      <c r="W198" s="100" t="s">
        <v>1215</v>
      </c>
      <c r="X198" s="90" t="s">
        <v>2</v>
      </c>
      <c r="Y198" s="91" t="s">
        <v>1216</v>
      </c>
      <c r="Z198" s="92" t="s">
        <v>79</v>
      </c>
      <c r="AA198" s="80"/>
      <c r="AB198" s="80"/>
      <c r="AC198" s="80"/>
    </row>
    <row r="199" spans="1:29" ht="39.950000000000003" customHeight="1" x14ac:dyDescent="0.25">
      <c r="A199" s="80" t="s">
        <v>1217</v>
      </c>
      <c r="B199" s="85" t="s">
        <v>1218</v>
      </c>
      <c r="C199" s="49" t="s">
        <v>19</v>
      </c>
      <c r="D199" s="49" t="s">
        <v>520</v>
      </c>
      <c r="E199" s="62" t="s">
        <v>1166</v>
      </c>
      <c r="F199" s="62" t="s">
        <v>17</v>
      </c>
      <c r="G199" s="46">
        <v>43348</v>
      </c>
      <c r="H199" s="47">
        <v>43356</v>
      </c>
      <c r="I199" s="49">
        <v>8</v>
      </c>
      <c r="J199" s="62" t="s">
        <v>656</v>
      </c>
      <c r="K199" s="64" t="s">
        <v>556</v>
      </c>
      <c r="L199" s="76" t="s">
        <v>1142</v>
      </c>
      <c r="M199" s="50" t="s">
        <v>437</v>
      </c>
      <c r="N199" s="50" t="s">
        <v>1143</v>
      </c>
      <c r="O199" s="50" t="s">
        <v>1144</v>
      </c>
      <c r="P199" s="50" t="s">
        <v>79</v>
      </c>
      <c r="Q199" s="50">
        <v>0</v>
      </c>
      <c r="R199" s="78">
        <v>0</v>
      </c>
      <c r="S199" s="79" t="s">
        <v>1001</v>
      </c>
      <c r="T199" s="82" t="s">
        <v>1021</v>
      </c>
      <c r="U199" s="93" t="s">
        <v>1141</v>
      </c>
      <c r="V199" s="103" t="s">
        <v>285</v>
      </c>
      <c r="W199" s="100" t="s">
        <v>1223</v>
      </c>
      <c r="X199" s="90" t="s">
        <v>1</v>
      </c>
      <c r="Y199" s="91" t="s">
        <v>1167</v>
      </c>
      <c r="Z199" s="92" t="s">
        <v>79</v>
      </c>
      <c r="AA199" s="80"/>
      <c r="AB199" s="80"/>
      <c r="AC199" s="80"/>
    </row>
    <row r="200" spans="1:29" ht="39.950000000000003" customHeight="1" x14ac:dyDescent="0.25">
      <c r="A200" s="80" t="s">
        <v>1221</v>
      </c>
      <c r="B200" s="85" t="s">
        <v>1222</v>
      </c>
      <c r="C200" s="49" t="s">
        <v>19</v>
      </c>
      <c r="D200" s="49" t="s">
        <v>468</v>
      </c>
      <c r="E200" s="62" t="s">
        <v>16</v>
      </c>
      <c r="F200" s="62" t="s">
        <v>441</v>
      </c>
      <c r="G200" s="46">
        <v>43349</v>
      </c>
      <c r="H200" s="47">
        <v>43413</v>
      </c>
      <c r="I200" s="49">
        <v>64</v>
      </c>
      <c r="J200" s="62" t="s">
        <v>170</v>
      </c>
      <c r="K200" s="64" t="s">
        <v>554</v>
      </c>
      <c r="L200" s="76" t="s">
        <v>461</v>
      </c>
      <c r="M200" s="50" t="s">
        <v>465</v>
      </c>
      <c r="N200" s="50" t="s">
        <v>1143</v>
      </c>
      <c r="O200" s="50" t="s">
        <v>79</v>
      </c>
      <c r="P200" s="50" t="s">
        <v>1209</v>
      </c>
      <c r="Q200" s="50">
        <v>0</v>
      </c>
      <c r="R200" s="78">
        <v>0</v>
      </c>
      <c r="S200" s="79" t="s">
        <v>341</v>
      </c>
      <c r="T200" s="82" t="s">
        <v>1021</v>
      </c>
      <c r="U200" s="93" t="s">
        <v>80</v>
      </c>
      <c r="V200" s="103" t="s">
        <v>285</v>
      </c>
      <c r="W200" s="101" t="s">
        <v>1766</v>
      </c>
      <c r="X200" s="90" t="s">
        <v>602</v>
      </c>
      <c r="Y200" s="91" t="s">
        <v>1029</v>
      </c>
      <c r="Z200" s="92" t="s">
        <v>79</v>
      </c>
      <c r="AA200" s="80"/>
      <c r="AB200" s="80"/>
      <c r="AC200" s="80"/>
    </row>
    <row r="201" spans="1:29" ht="39.950000000000003" customHeight="1" x14ac:dyDescent="0.25">
      <c r="A201" s="80" t="s">
        <v>1225</v>
      </c>
      <c r="B201" s="85" t="s">
        <v>1226</v>
      </c>
      <c r="C201" s="49" t="s">
        <v>19</v>
      </c>
      <c r="D201" s="49" t="s">
        <v>468</v>
      </c>
      <c r="E201" s="62" t="s">
        <v>686</v>
      </c>
      <c r="F201" s="62" t="s">
        <v>938</v>
      </c>
      <c r="G201" s="46">
        <v>43350</v>
      </c>
      <c r="H201" s="47">
        <v>43361</v>
      </c>
      <c r="I201" s="49">
        <v>11</v>
      </c>
      <c r="J201" s="62" t="s">
        <v>556</v>
      </c>
      <c r="K201" s="64" t="s">
        <v>556</v>
      </c>
      <c r="L201" s="76" t="s">
        <v>701</v>
      </c>
      <c r="M201" s="50" t="s">
        <v>515</v>
      </c>
      <c r="N201" s="50"/>
      <c r="O201" s="50" t="s">
        <v>1209</v>
      </c>
      <c r="P201" s="50" t="s">
        <v>1209</v>
      </c>
      <c r="Q201" s="50">
        <v>0</v>
      </c>
      <c r="R201" s="78">
        <v>0</v>
      </c>
      <c r="S201" s="79" t="s">
        <v>464</v>
      </c>
      <c r="T201" s="82" t="s">
        <v>1022</v>
      </c>
      <c r="U201" s="93" t="s">
        <v>1715</v>
      </c>
      <c r="V201" s="103" t="s">
        <v>1716</v>
      </c>
      <c r="W201" s="101" t="s">
        <v>1587</v>
      </c>
      <c r="X201" s="90" t="s">
        <v>952</v>
      </c>
      <c r="Y201" s="91" t="s">
        <v>79</v>
      </c>
      <c r="Z201" s="92" t="s">
        <v>79</v>
      </c>
      <c r="AA201" s="80"/>
      <c r="AB201" s="80"/>
      <c r="AC201" s="80"/>
    </row>
    <row r="202" spans="1:29" ht="39.950000000000003" customHeight="1" x14ac:dyDescent="0.25">
      <c r="A202" s="80" t="s">
        <v>1228</v>
      </c>
      <c r="B202" s="86" t="s">
        <v>1245</v>
      </c>
      <c r="C202" s="49" t="s">
        <v>19</v>
      </c>
      <c r="D202" s="49" t="s">
        <v>520</v>
      </c>
      <c r="E202" s="62" t="s">
        <v>16</v>
      </c>
      <c r="F202" s="62" t="s">
        <v>441</v>
      </c>
      <c r="G202" s="46">
        <v>43353</v>
      </c>
      <c r="H202" s="47">
        <v>43355</v>
      </c>
      <c r="I202" s="49">
        <v>2</v>
      </c>
      <c r="J202" s="62" t="s">
        <v>169</v>
      </c>
      <c r="K202" s="64" t="s">
        <v>554</v>
      </c>
      <c r="L202" s="76" t="s">
        <v>1142</v>
      </c>
      <c r="M202" s="50" t="s">
        <v>437</v>
      </c>
      <c r="N202" s="50" t="s">
        <v>1143</v>
      </c>
      <c r="O202" s="50" t="s">
        <v>1144</v>
      </c>
      <c r="P202" s="50" t="s">
        <v>79</v>
      </c>
      <c r="Q202" s="50">
        <v>0</v>
      </c>
      <c r="R202" s="78">
        <v>0</v>
      </c>
      <c r="S202" s="79" t="s">
        <v>341</v>
      </c>
      <c r="T202" s="82" t="s">
        <v>59</v>
      </c>
      <c r="U202" s="93" t="s">
        <v>1016</v>
      </c>
      <c r="V202" s="103" t="s">
        <v>285</v>
      </c>
      <c r="W202" s="101" t="s">
        <v>1246</v>
      </c>
      <c r="X202" s="90" t="s">
        <v>952</v>
      </c>
      <c r="Y202" s="91" t="s">
        <v>1132</v>
      </c>
      <c r="Z202" s="92"/>
      <c r="AA202" s="80"/>
      <c r="AB202" s="80"/>
      <c r="AC202" s="80"/>
    </row>
    <row r="203" spans="1:29" ht="39.950000000000003" customHeight="1" x14ac:dyDescent="0.25">
      <c r="A203" s="80" t="s">
        <v>1232</v>
      </c>
      <c r="B203" s="85" t="s">
        <v>1233</v>
      </c>
      <c r="C203" s="49" t="s">
        <v>18</v>
      </c>
      <c r="D203" s="49" t="s">
        <v>468</v>
      </c>
      <c r="E203" s="62" t="s">
        <v>16</v>
      </c>
      <c r="F203" s="62" t="s">
        <v>17</v>
      </c>
      <c r="G203" s="46">
        <v>43355</v>
      </c>
      <c r="H203" s="47"/>
      <c r="I203" s="49">
        <v>139.72</v>
      </c>
      <c r="J203" s="62" t="s">
        <v>172</v>
      </c>
      <c r="K203" s="64" t="s">
        <v>554</v>
      </c>
      <c r="L203" s="76" t="s">
        <v>461</v>
      </c>
      <c r="M203" s="50" t="s">
        <v>465</v>
      </c>
      <c r="N203" s="50" t="s">
        <v>1143</v>
      </c>
      <c r="O203" s="50" t="s">
        <v>79</v>
      </c>
      <c r="P203" s="50" t="s">
        <v>79</v>
      </c>
      <c r="Q203" s="50">
        <v>0</v>
      </c>
      <c r="R203" s="78">
        <v>0</v>
      </c>
      <c r="S203" s="79" t="s">
        <v>341</v>
      </c>
      <c r="T203" s="82" t="s">
        <v>1021</v>
      </c>
      <c r="U203" s="93" t="s">
        <v>1547</v>
      </c>
      <c r="V203" s="103" t="s">
        <v>1016</v>
      </c>
      <c r="W203" s="100" t="s">
        <v>1049</v>
      </c>
      <c r="X203" s="90" t="s">
        <v>602</v>
      </c>
      <c r="Y203" s="91" t="s">
        <v>1029</v>
      </c>
      <c r="Z203" s="92"/>
      <c r="AA203" s="80"/>
      <c r="AB203" s="80"/>
      <c r="AC203" s="80"/>
    </row>
    <row r="204" spans="1:29" ht="39.950000000000003" customHeight="1" x14ac:dyDescent="0.25">
      <c r="A204" s="80" t="s">
        <v>1570</v>
      </c>
      <c r="B204" s="85" t="s">
        <v>1571</v>
      </c>
      <c r="C204" s="49" t="s">
        <v>19</v>
      </c>
      <c r="D204" s="49" t="s">
        <v>520</v>
      </c>
      <c r="E204" s="62" t="s">
        <v>16</v>
      </c>
      <c r="F204" s="62" t="s">
        <v>17</v>
      </c>
      <c r="G204" s="46">
        <v>43356</v>
      </c>
      <c r="H204" s="47">
        <v>43419</v>
      </c>
      <c r="I204" s="49">
        <v>63</v>
      </c>
      <c r="J204" s="62" t="s">
        <v>170</v>
      </c>
      <c r="K204" s="64" t="s">
        <v>554</v>
      </c>
      <c r="L204" s="76" t="s">
        <v>461</v>
      </c>
      <c r="M204" s="50" t="s">
        <v>465</v>
      </c>
      <c r="N204" s="50" t="s">
        <v>1143</v>
      </c>
      <c r="O204" s="50" t="s">
        <v>79</v>
      </c>
      <c r="P204" s="50" t="s">
        <v>79</v>
      </c>
      <c r="Q204" s="50">
        <v>0</v>
      </c>
      <c r="R204" s="78">
        <v>0</v>
      </c>
      <c r="S204" s="79" t="s">
        <v>341</v>
      </c>
      <c r="T204" s="82" t="s">
        <v>1563</v>
      </c>
      <c r="U204" s="93" t="s">
        <v>1572</v>
      </c>
      <c r="V204" s="103" t="s">
        <v>1016</v>
      </c>
      <c r="W204" s="100" t="s">
        <v>1779</v>
      </c>
      <c r="X204" s="90" t="s">
        <v>2</v>
      </c>
      <c r="Y204" s="91" t="s">
        <v>1029</v>
      </c>
      <c r="Z204" s="92"/>
      <c r="AA204" s="80"/>
      <c r="AB204" s="80"/>
      <c r="AC204" s="80"/>
    </row>
    <row r="205" spans="1:29" ht="39.950000000000003" customHeight="1" x14ac:dyDescent="0.25">
      <c r="A205" s="80" t="s">
        <v>1579</v>
      </c>
      <c r="B205" s="85" t="s">
        <v>1580</v>
      </c>
      <c r="C205" s="49" t="s">
        <v>19</v>
      </c>
      <c r="D205" s="49" t="s">
        <v>468</v>
      </c>
      <c r="E205" s="62" t="s">
        <v>108</v>
      </c>
      <c r="F205" s="62" t="s">
        <v>938</v>
      </c>
      <c r="G205" s="46">
        <v>43357</v>
      </c>
      <c r="H205" s="47">
        <v>43377</v>
      </c>
      <c r="I205" s="49">
        <v>20</v>
      </c>
      <c r="J205" s="62" t="s">
        <v>577</v>
      </c>
      <c r="K205" s="64" t="s">
        <v>555</v>
      </c>
      <c r="L205" s="76" t="s">
        <v>1574</v>
      </c>
      <c r="M205" s="50" t="s">
        <v>85</v>
      </c>
      <c r="N205" s="50" t="s">
        <v>1575</v>
      </c>
      <c r="O205" s="50" t="s">
        <v>1576</v>
      </c>
      <c r="P205" s="50" t="s">
        <v>79</v>
      </c>
      <c r="Q205" s="50">
        <v>0</v>
      </c>
      <c r="R205" s="78">
        <v>0</v>
      </c>
      <c r="S205" s="79" t="s">
        <v>464</v>
      </c>
      <c r="T205" s="82" t="s">
        <v>1019</v>
      </c>
      <c r="U205" s="93" t="s">
        <v>1015</v>
      </c>
      <c r="V205" s="103" t="s">
        <v>285</v>
      </c>
      <c r="W205" s="101" t="s">
        <v>1700</v>
      </c>
      <c r="X205" s="90" t="s">
        <v>146</v>
      </c>
      <c r="Y205" s="91" t="s">
        <v>79</v>
      </c>
      <c r="Z205" s="92"/>
      <c r="AA205" s="80"/>
      <c r="AB205" s="80"/>
      <c r="AC205" s="80"/>
    </row>
    <row r="206" spans="1:29" ht="39.950000000000003" customHeight="1" x14ac:dyDescent="0.25">
      <c r="A206" s="80" t="s">
        <v>1581</v>
      </c>
      <c r="B206" s="85" t="s">
        <v>1582</v>
      </c>
      <c r="C206" s="49" t="s">
        <v>19</v>
      </c>
      <c r="D206" s="49" t="s">
        <v>468</v>
      </c>
      <c r="E206" s="62" t="s">
        <v>16</v>
      </c>
      <c r="F206" s="62" t="s">
        <v>938</v>
      </c>
      <c r="G206" s="46">
        <v>43357</v>
      </c>
      <c r="H206" s="47">
        <v>43362</v>
      </c>
      <c r="I206" s="49">
        <v>5</v>
      </c>
      <c r="J206" s="62" t="s">
        <v>170</v>
      </c>
      <c r="K206" s="64" t="s">
        <v>554</v>
      </c>
      <c r="L206" s="76" t="s">
        <v>210</v>
      </c>
      <c r="M206" s="50" t="s">
        <v>1583</v>
      </c>
      <c r="N206" s="50" t="s">
        <v>915</v>
      </c>
      <c r="O206" s="50" t="s">
        <v>1584</v>
      </c>
      <c r="P206" s="50" t="s">
        <v>79</v>
      </c>
      <c r="Q206" s="50">
        <v>0</v>
      </c>
      <c r="R206" s="78">
        <v>0</v>
      </c>
      <c r="S206" s="79" t="s">
        <v>464</v>
      </c>
      <c r="T206" s="82" t="s">
        <v>1022</v>
      </c>
      <c r="U206" s="93" t="s">
        <v>1013</v>
      </c>
      <c r="V206" s="103" t="s">
        <v>991</v>
      </c>
      <c r="W206" s="101" t="s">
        <v>1609</v>
      </c>
      <c r="X206" s="90" t="s">
        <v>602</v>
      </c>
      <c r="Y206" s="91" t="s">
        <v>1029</v>
      </c>
      <c r="Z206" s="92"/>
      <c r="AA206" s="80"/>
      <c r="AB206" s="80"/>
      <c r="AC206" s="80"/>
    </row>
    <row r="207" spans="1:29" ht="39.950000000000003" customHeight="1" x14ac:dyDescent="0.25">
      <c r="A207" s="80" t="s">
        <v>1588</v>
      </c>
      <c r="B207" s="85" t="s">
        <v>1589</v>
      </c>
      <c r="C207" s="49" t="s">
        <v>19</v>
      </c>
      <c r="D207" s="49" t="s">
        <v>468</v>
      </c>
      <c r="E207" s="62" t="s">
        <v>1590</v>
      </c>
      <c r="F207" s="62" t="s">
        <v>17</v>
      </c>
      <c r="G207" s="46">
        <v>43360</v>
      </c>
      <c r="H207" s="47"/>
      <c r="I207" s="49"/>
      <c r="J207" s="62" t="s">
        <v>172</v>
      </c>
      <c r="K207" s="64" t="s">
        <v>554</v>
      </c>
      <c r="L207" s="76" t="s">
        <v>714</v>
      </c>
      <c r="M207" s="50" t="s">
        <v>76</v>
      </c>
      <c r="N207" s="50" t="s">
        <v>1209</v>
      </c>
      <c r="O207" s="50" t="s">
        <v>1209</v>
      </c>
      <c r="P207" s="50" t="s">
        <v>1209</v>
      </c>
      <c r="Q207" s="50"/>
      <c r="R207" s="78"/>
      <c r="S207" s="79" t="s">
        <v>464</v>
      </c>
      <c r="T207" s="82" t="s">
        <v>1591</v>
      </c>
      <c r="U207" s="93" t="s">
        <v>1008</v>
      </c>
      <c r="V207" s="103" t="s">
        <v>1592</v>
      </c>
      <c r="W207" s="100" t="s">
        <v>1593</v>
      </c>
      <c r="X207" s="90" t="s">
        <v>146</v>
      </c>
      <c r="Y207" s="91" t="s">
        <v>79</v>
      </c>
      <c r="Z207" s="92"/>
      <c r="AA207" s="80"/>
      <c r="AB207" s="80"/>
      <c r="AC207" s="80"/>
    </row>
    <row r="208" spans="1:29" ht="39.950000000000003" customHeight="1" x14ac:dyDescent="0.25">
      <c r="A208" s="80" t="s">
        <v>1594</v>
      </c>
      <c r="B208" s="85" t="s">
        <v>1595</v>
      </c>
      <c r="C208" s="49" t="s">
        <v>19</v>
      </c>
      <c r="D208" s="49" t="s">
        <v>468</v>
      </c>
      <c r="E208" s="62" t="s">
        <v>1590</v>
      </c>
      <c r="F208" s="62" t="s">
        <v>938</v>
      </c>
      <c r="G208" s="46">
        <v>43362</v>
      </c>
      <c r="H208" s="47">
        <v>43388</v>
      </c>
      <c r="I208" s="49">
        <v>26</v>
      </c>
      <c r="J208" s="62" t="s">
        <v>554</v>
      </c>
      <c r="K208" s="64" t="s">
        <v>554</v>
      </c>
      <c r="L208" s="76" t="s">
        <v>404</v>
      </c>
      <c r="M208" s="50" t="s">
        <v>76</v>
      </c>
      <c r="N208" s="50"/>
      <c r="O208" s="50"/>
      <c r="P208" s="50" t="s">
        <v>1209</v>
      </c>
      <c r="Q208" s="50">
        <v>0</v>
      </c>
      <c r="R208" s="78">
        <v>0</v>
      </c>
      <c r="S208" s="79" t="s">
        <v>464</v>
      </c>
      <c r="T208" s="82" t="s">
        <v>1022</v>
      </c>
      <c r="U208" s="93" t="s">
        <v>1596</v>
      </c>
      <c r="V208" s="103" t="s">
        <v>990</v>
      </c>
      <c r="W208" s="101" t="s">
        <v>1736</v>
      </c>
      <c r="X208" s="90" t="s">
        <v>146</v>
      </c>
      <c r="Y208" s="91" t="s">
        <v>79</v>
      </c>
      <c r="Z208" s="92"/>
      <c r="AA208" s="80"/>
      <c r="AB208" s="80"/>
      <c r="AC208" s="80"/>
    </row>
    <row r="209" spans="1:29" ht="39.950000000000003" customHeight="1" x14ac:dyDescent="0.25">
      <c r="A209" s="80" t="s">
        <v>1597</v>
      </c>
      <c r="B209" s="85" t="s">
        <v>1598</v>
      </c>
      <c r="C209" s="49" t="s">
        <v>19</v>
      </c>
      <c r="D209" s="49" t="s">
        <v>468</v>
      </c>
      <c r="E209" s="62" t="s">
        <v>1590</v>
      </c>
      <c r="F209" s="62" t="s">
        <v>938</v>
      </c>
      <c r="G209" s="46">
        <v>43362</v>
      </c>
      <c r="H209" s="47">
        <v>43388</v>
      </c>
      <c r="I209" s="49">
        <v>26</v>
      </c>
      <c r="J209" s="62" t="s">
        <v>554</v>
      </c>
      <c r="K209" s="64" t="s">
        <v>554</v>
      </c>
      <c r="L209" s="76" t="s">
        <v>119</v>
      </c>
      <c r="M209" s="50" t="s">
        <v>76</v>
      </c>
      <c r="N209" s="50" t="s">
        <v>968</v>
      </c>
      <c r="O209" s="50" t="s">
        <v>970</v>
      </c>
      <c r="P209" s="50" t="s">
        <v>119</v>
      </c>
      <c r="Q209" s="50">
        <v>0</v>
      </c>
      <c r="R209" s="78">
        <v>0</v>
      </c>
      <c r="S209" s="79" t="s">
        <v>464</v>
      </c>
      <c r="T209" s="82" t="s">
        <v>1022</v>
      </c>
      <c r="U209" s="93" t="s">
        <v>1599</v>
      </c>
      <c r="V209" s="103" t="s">
        <v>990</v>
      </c>
      <c r="W209" s="100" t="s">
        <v>1737</v>
      </c>
      <c r="X209" s="90" t="s">
        <v>146</v>
      </c>
      <c r="Y209" s="91" t="s">
        <v>79</v>
      </c>
      <c r="Z209" s="92"/>
      <c r="AA209" s="80"/>
      <c r="AB209" s="80"/>
      <c r="AC209" s="80"/>
    </row>
    <row r="210" spans="1:29" ht="39.950000000000003" customHeight="1" x14ac:dyDescent="0.25">
      <c r="A210" s="80" t="s">
        <v>1600</v>
      </c>
      <c r="B210" s="85" t="s">
        <v>1601</v>
      </c>
      <c r="C210" s="49" t="s">
        <v>19</v>
      </c>
      <c r="D210" s="49" t="s">
        <v>468</v>
      </c>
      <c r="E210" s="62" t="s">
        <v>1590</v>
      </c>
      <c r="F210" s="62" t="s">
        <v>938</v>
      </c>
      <c r="G210" s="46">
        <v>43362</v>
      </c>
      <c r="H210" s="47">
        <v>43388</v>
      </c>
      <c r="I210" s="49">
        <v>26</v>
      </c>
      <c r="J210" s="62" t="s">
        <v>554</v>
      </c>
      <c r="K210" s="64" t="s">
        <v>554</v>
      </c>
      <c r="L210" s="76" t="s">
        <v>121</v>
      </c>
      <c r="M210" s="50" t="s">
        <v>76</v>
      </c>
      <c r="N210" s="50" t="s">
        <v>968</v>
      </c>
      <c r="O210" s="50" t="s">
        <v>285</v>
      </c>
      <c r="P210" s="50" t="s">
        <v>121</v>
      </c>
      <c r="Q210" s="50">
        <v>0</v>
      </c>
      <c r="R210" s="78">
        <v>0</v>
      </c>
      <c r="S210" s="79" t="s">
        <v>464</v>
      </c>
      <c r="T210" s="82" t="s">
        <v>1022</v>
      </c>
      <c r="U210" s="93" t="s">
        <v>1602</v>
      </c>
      <c r="V210" s="103" t="s">
        <v>991</v>
      </c>
      <c r="W210" s="101" t="s">
        <v>1738</v>
      </c>
      <c r="X210" s="90" t="s">
        <v>146</v>
      </c>
      <c r="Y210" s="91" t="s">
        <v>79</v>
      </c>
      <c r="Z210" s="92"/>
      <c r="AA210" s="80"/>
      <c r="AB210" s="80"/>
      <c r="AC210" s="80"/>
    </row>
    <row r="211" spans="1:29" ht="39.950000000000003" customHeight="1" x14ac:dyDescent="0.25">
      <c r="A211" s="80" t="s">
        <v>1603</v>
      </c>
      <c r="B211" s="85" t="s">
        <v>1604</v>
      </c>
      <c r="C211" s="49" t="s">
        <v>19</v>
      </c>
      <c r="D211" s="49" t="s">
        <v>468</v>
      </c>
      <c r="E211" s="62" t="s">
        <v>1590</v>
      </c>
      <c r="F211" s="62" t="s">
        <v>938</v>
      </c>
      <c r="G211" s="46">
        <v>43362</v>
      </c>
      <c r="H211" s="47">
        <v>43388</v>
      </c>
      <c r="I211" s="49">
        <v>26</v>
      </c>
      <c r="J211" s="62" t="s">
        <v>554</v>
      </c>
      <c r="K211" s="64" t="s">
        <v>554</v>
      </c>
      <c r="L211" s="76" t="s">
        <v>118</v>
      </c>
      <c r="M211" s="50" t="s">
        <v>76</v>
      </c>
      <c r="N211" s="50" t="s">
        <v>968</v>
      </c>
      <c r="O211" s="50" t="s">
        <v>970</v>
      </c>
      <c r="P211" s="50" t="s">
        <v>118</v>
      </c>
      <c r="Q211" s="50">
        <v>0</v>
      </c>
      <c r="R211" s="78">
        <v>0</v>
      </c>
      <c r="S211" s="79" t="s">
        <v>464</v>
      </c>
      <c r="T211" s="82" t="s">
        <v>1022</v>
      </c>
      <c r="U211" s="93" t="s">
        <v>1602</v>
      </c>
      <c r="V211" s="103" t="s">
        <v>991</v>
      </c>
      <c r="W211" s="101" t="s">
        <v>1739</v>
      </c>
      <c r="X211" s="90" t="s">
        <v>146</v>
      </c>
      <c r="Y211" s="91" t="s">
        <v>79</v>
      </c>
      <c r="Z211" s="92"/>
      <c r="AA211" s="80"/>
      <c r="AB211" s="80"/>
      <c r="AC211" s="80"/>
    </row>
    <row r="212" spans="1:29" ht="39.950000000000003" customHeight="1" x14ac:dyDescent="0.25">
      <c r="A212" s="80" t="s">
        <v>1605</v>
      </c>
      <c r="B212" s="85" t="s">
        <v>1606</v>
      </c>
      <c r="C212" s="49" t="s">
        <v>19</v>
      </c>
      <c r="D212" s="49" t="s">
        <v>468</v>
      </c>
      <c r="E212" s="62" t="s">
        <v>136</v>
      </c>
      <c r="F212" s="62" t="s">
        <v>938</v>
      </c>
      <c r="G212" s="46">
        <v>43362</v>
      </c>
      <c r="H212" s="47">
        <v>43362</v>
      </c>
      <c r="I212" s="49">
        <v>0</v>
      </c>
      <c r="J212" s="62" t="s">
        <v>554</v>
      </c>
      <c r="K212" s="64" t="s">
        <v>554</v>
      </c>
      <c r="L212" s="76" t="s">
        <v>402</v>
      </c>
      <c r="M212" s="50" t="s">
        <v>76</v>
      </c>
      <c r="N212" s="50"/>
      <c r="O212" s="50"/>
      <c r="P212" s="50" t="s">
        <v>1209</v>
      </c>
      <c r="Q212" s="50">
        <v>0</v>
      </c>
      <c r="R212" s="78">
        <v>0</v>
      </c>
      <c r="S212" s="79" t="s">
        <v>464</v>
      </c>
      <c r="T212" s="82" t="s">
        <v>413</v>
      </c>
      <c r="U212" s="93" t="s">
        <v>953</v>
      </c>
      <c r="V212" s="103" t="s">
        <v>994</v>
      </c>
      <c r="W212" s="101" t="s">
        <v>1610</v>
      </c>
      <c r="X212" s="90" t="s">
        <v>952</v>
      </c>
      <c r="Y212" s="91" t="s">
        <v>79</v>
      </c>
      <c r="Z212" s="92"/>
      <c r="AA212" s="80"/>
      <c r="AB212" s="80"/>
      <c r="AC212" s="80"/>
    </row>
    <row r="213" spans="1:29" ht="39.950000000000003" customHeight="1" x14ac:dyDescent="0.25">
      <c r="A213" s="80" t="s">
        <v>1607</v>
      </c>
      <c r="B213" s="85" t="s">
        <v>1608</v>
      </c>
      <c r="C213" s="49" t="s">
        <v>19</v>
      </c>
      <c r="D213" s="49" t="s">
        <v>468</v>
      </c>
      <c r="E213" s="62" t="s">
        <v>16</v>
      </c>
      <c r="F213" s="62" t="s">
        <v>938</v>
      </c>
      <c r="G213" s="46">
        <v>43362</v>
      </c>
      <c r="H213" s="47">
        <v>43388</v>
      </c>
      <c r="I213" s="49">
        <v>26</v>
      </c>
      <c r="J213" s="62" t="s">
        <v>169</v>
      </c>
      <c r="K213" s="64" t="s">
        <v>554</v>
      </c>
      <c r="L213" s="76" t="s">
        <v>421</v>
      </c>
      <c r="M213" s="50" t="s">
        <v>85</v>
      </c>
      <c r="N213" s="50" t="s">
        <v>1453</v>
      </c>
      <c r="O213" s="50" t="s">
        <v>1545</v>
      </c>
      <c r="P213" s="50" t="s">
        <v>79</v>
      </c>
      <c r="Q213" s="50">
        <v>0</v>
      </c>
      <c r="R213" s="78">
        <v>0</v>
      </c>
      <c r="S213" s="79" t="s">
        <v>464</v>
      </c>
      <c r="T213" s="82" t="s">
        <v>1022</v>
      </c>
      <c r="U213" s="93" t="s">
        <v>953</v>
      </c>
      <c r="V213" s="103" t="s">
        <v>996</v>
      </c>
      <c r="W213" s="100" t="s">
        <v>1740</v>
      </c>
      <c r="X213" s="90" t="s">
        <v>146</v>
      </c>
      <c r="Y213" s="91" t="s">
        <v>79</v>
      </c>
      <c r="Z213" s="92"/>
      <c r="AA213" s="80"/>
      <c r="AB213" s="80"/>
      <c r="AC213" s="80"/>
    </row>
    <row r="214" spans="1:29" ht="39.950000000000003" customHeight="1" x14ac:dyDescent="0.25">
      <c r="A214" s="80" t="s">
        <v>1611</v>
      </c>
      <c r="B214" s="85" t="s">
        <v>1612</v>
      </c>
      <c r="C214" s="49" t="s">
        <v>18</v>
      </c>
      <c r="D214" s="49" t="s">
        <v>520</v>
      </c>
      <c r="E214" s="62" t="s">
        <v>1166</v>
      </c>
      <c r="F214" s="62" t="s">
        <v>17</v>
      </c>
      <c r="G214" s="46">
        <v>43363</v>
      </c>
      <c r="H214" s="47"/>
      <c r="I214" s="49">
        <v>131.72</v>
      </c>
      <c r="J214" s="62" t="s">
        <v>657</v>
      </c>
      <c r="K214" s="64" t="s">
        <v>556</v>
      </c>
      <c r="L214" s="76" t="s">
        <v>1613</v>
      </c>
      <c r="M214" s="50" t="s">
        <v>921</v>
      </c>
      <c r="N214" s="50" t="s">
        <v>1614</v>
      </c>
      <c r="O214" s="50" t="s">
        <v>1615</v>
      </c>
      <c r="P214" s="50" t="s">
        <v>79</v>
      </c>
      <c r="Q214" s="50"/>
      <c r="R214" s="78"/>
      <c r="S214" s="79" t="s">
        <v>1784</v>
      </c>
      <c r="T214" s="82" t="s">
        <v>59</v>
      </c>
      <c r="U214" s="93" t="s">
        <v>1012</v>
      </c>
      <c r="V214" s="103" t="s">
        <v>995</v>
      </c>
      <c r="W214" s="100" t="s">
        <v>1785</v>
      </c>
      <c r="X214" s="90" t="s">
        <v>602</v>
      </c>
      <c r="Y214" s="91" t="s">
        <v>79</v>
      </c>
      <c r="Z214" s="92"/>
      <c r="AA214" s="80"/>
      <c r="AB214" s="80"/>
      <c r="AC214" s="80"/>
    </row>
    <row r="215" spans="1:29" ht="39.950000000000003" customHeight="1" x14ac:dyDescent="0.25">
      <c r="A215" s="80" t="s">
        <v>1622</v>
      </c>
      <c r="B215" s="85" t="s">
        <v>1623</v>
      </c>
      <c r="C215" s="49" t="s">
        <v>19</v>
      </c>
      <c r="D215" s="49" t="s">
        <v>468</v>
      </c>
      <c r="E215" s="62" t="s">
        <v>1166</v>
      </c>
      <c r="F215" s="62" t="s">
        <v>17</v>
      </c>
      <c r="G215" s="46">
        <v>43363</v>
      </c>
      <c r="H215" s="47"/>
      <c r="I215" s="49"/>
      <c r="J215" s="62" t="s">
        <v>556</v>
      </c>
      <c r="K215" s="64" t="s">
        <v>556</v>
      </c>
      <c r="L215" s="76" t="s">
        <v>1616</v>
      </c>
      <c r="M215" s="50" t="s">
        <v>88</v>
      </c>
      <c r="N215" s="50" t="s">
        <v>1617</v>
      </c>
      <c r="O215" s="50" t="s">
        <v>1618</v>
      </c>
      <c r="P215" s="50" t="s">
        <v>79</v>
      </c>
      <c r="Q215" s="50">
        <v>0</v>
      </c>
      <c r="R215" s="78">
        <v>0</v>
      </c>
      <c r="S215" s="79" t="s">
        <v>464</v>
      </c>
      <c r="T215" s="82" t="s">
        <v>1022</v>
      </c>
      <c r="U215" s="93" t="s">
        <v>1012</v>
      </c>
      <c r="V215" s="103" t="s">
        <v>991</v>
      </c>
      <c r="W215" s="100" t="s">
        <v>1624</v>
      </c>
      <c r="X215" s="90" t="s">
        <v>146</v>
      </c>
      <c r="Y215" s="91" t="s">
        <v>79</v>
      </c>
      <c r="Z215" s="92" t="s">
        <v>79</v>
      </c>
      <c r="AA215" s="80"/>
      <c r="AB215" s="80"/>
      <c r="AC215" s="80"/>
    </row>
    <row r="216" spans="1:29" ht="39.950000000000003" customHeight="1" x14ac:dyDescent="0.25">
      <c r="A216" s="80" t="s">
        <v>1625</v>
      </c>
      <c r="B216" s="85" t="s">
        <v>1626</v>
      </c>
      <c r="C216" s="49" t="s">
        <v>18</v>
      </c>
      <c r="D216" s="49" t="s">
        <v>520</v>
      </c>
      <c r="E216" s="62" t="s">
        <v>1166</v>
      </c>
      <c r="F216" s="62" t="s">
        <v>441</v>
      </c>
      <c r="G216" s="46">
        <v>43367</v>
      </c>
      <c r="H216" s="47"/>
      <c r="I216" s="49">
        <v>127.72</v>
      </c>
      <c r="J216" s="62" t="s">
        <v>657</v>
      </c>
      <c r="K216" s="64" t="s">
        <v>556</v>
      </c>
      <c r="L216" s="76" t="s">
        <v>1613</v>
      </c>
      <c r="M216" s="50" t="s">
        <v>921</v>
      </c>
      <c r="N216" s="50" t="s">
        <v>1614</v>
      </c>
      <c r="O216" s="50" t="s">
        <v>1615</v>
      </c>
      <c r="P216" s="50" t="s">
        <v>79</v>
      </c>
      <c r="Q216" s="50">
        <v>0</v>
      </c>
      <c r="R216" s="78">
        <v>0</v>
      </c>
      <c r="S216" s="79" t="s">
        <v>1784</v>
      </c>
      <c r="T216" s="82" t="s">
        <v>1591</v>
      </c>
      <c r="U216" s="93" t="s">
        <v>1012</v>
      </c>
      <c r="V216" s="103" t="s">
        <v>995</v>
      </c>
      <c r="W216" s="101" t="s">
        <v>1786</v>
      </c>
      <c r="X216" s="90" t="s">
        <v>1</v>
      </c>
      <c r="Y216" s="91" t="s">
        <v>1167</v>
      </c>
      <c r="Z216" s="92"/>
      <c r="AA216" s="80"/>
      <c r="AB216" s="80"/>
      <c r="AC216" s="80"/>
    </row>
    <row r="217" spans="1:29" ht="39.950000000000003" customHeight="1" x14ac:dyDescent="0.25">
      <c r="A217" s="80" t="s">
        <v>1633</v>
      </c>
      <c r="B217" s="85" t="s">
        <v>1634</v>
      </c>
      <c r="C217" s="49" t="s">
        <v>18</v>
      </c>
      <c r="D217" s="49" t="s">
        <v>468</v>
      </c>
      <c r="E217" s="62" t="s">
        <v>611</v>
      </c>
      <c r="F217" s="62" t="s">
        <v>17</v>
      </c>
      <c r="G217" s="46">
        <v>43369</v>
      </c>
      <c r="H217" s="47"/>
      <c r="I217" s="49">
        <v>125.72</v>
      </c>
      <c r="J217" s="62" t="s">
        <v>159</v>
      </c>
      <c r="K217" s="64" t="s">
        <v>554</v>
      </c>
      <c r="L217" s="76" t="s">
        <v>1635</v>
      </c>
      <c r="M217" s="50" t="s">
        <v>1242</v>
      </c>
      <c r="N217" s="50" t="s">
        <v>937</v>
      </c>
      <c r="O217" s="50" t="s">
        <v>1628</v>
      </c>
      <c r="P217" s="50" t="s">
        <v>79</v>
      </c>
      <c r="Q217" s="50">
        <v>0</v>
      </c>
      <c r="R217" s="78">
        <v>0</v>
      </c>
      <c r="S217" s="79" t="s">
        <v>464</v>
      </c>
      <c r="T217" s="82" t="s">
        <v>285</v>
      </c>
      <c r="U217" s="93" t="s">
        <v>1636</v>
      </c>
      <c r="V217" s="103" t="s">
        <v>285</v>
      </c>
      <c r="W217" s="100" t="s">
        <v>1637</v>
      </c>
      <c r="X217" s="90" t="s">
        <v>146</v>
      </c>
      <c r="Y217" s="91" t="s">
        <v>79</v>
      </c>
      <c r="Z217" s="92"/>
      <c r="AA217" s="80"/>
      <c r="AB217" s="80"/>
      <c r="AC217" s="80"/>
    </row>
    <row r="218" spans="1:29" ht="39.950000000000003" customHeight="1" x14ac:dyDescent="0.25">
      <c r="A218" s="80" t="s">
        <v>1641</v>
      </c>
      <c r="B218" s="85" t="s">
        <v>1642</v>
      </c>
      <c r="C218" s="49" t="s">
        <v>19</v>
      </c>
      <c r="D218" s="49" t="s">
        <v>520</v>
      </c>
      <c r="E218" s="62" t="s">
        <v>108</v>
      </c>
      <c r="F218" s="62" t="s">
        <v>774</v>
      </c>
      <c r="G218" s="46">
        <v>43376</v>
      </c>
      <c r="H218" s="47">
        <v>43441</v>
      </c>
      <c r="I218" s="49">
        <v>65</v>
      </c>
      <c r="J218" s="62" t="s">
        <v>183</v>
      </c>
      <c r="K218" s="64" t="s">
        <v>555</v>
      </c>
      <c r="L218" s="76" t="s">
        <v>1058</v>
      </c>
      <c r="M218" s="50" t="s">
        <v>750</v>
      </c>
      <c r="N218" s="50" t="s">
        <v>525</v>
      </c>
      <c r="O218" s="50" t="s">
        <v>79</v>
      </c>
      <c r="P218" s="50" t="s">
        <v>79</v>
      </c>
      <c r="Q218" s="50">
        <v>0</v>
      </c>
      <c r="R218" s="78">
        <v>0</v>
      </c>
      <c r="S218" s="79" t="s">
        <v>464</v>
      </c>
      <c r="T218" s="82" t="s">
        <v>285</v>
      </c>
      <c r="U218" s="93" t="s">
        <v>1012</v>
      </c>
      <c r="V218" s="103" t="s">
        <v>991</v>
      </c>
      <c r="W218" s="100" t="s">
        <v>1816</v>
      </c>
      <c r="X218" s="90" t="s">
        <v>1</v>
      </c>
      <c r="Y218" s="91" t="s">
        <v>1101</v>
      </c>
      <c r="Z218" s="92" t="s">
        <v>79</v>
      </c>
      <c r="AA218" s="80"/>
      <c r="AB218" s="80"/>
      <c r="AC218" s="80"/>
    </row>
    <row r="219" spans="1:29" ht="39.950000000000003" customHeight="1" x14ac:dyDescent="0.25">
      <c r="A219" s="80" t="s">
        <v>1643</v>
      </c>
      <c r="B219" s="85" t="s">
        <v>1644</v>
      </c>
      <c r="C219" s="49" t="s">
        <v>19</v>
      </c>
      <c r="D219" s="49" t="s">
        <v>520</v>
      </c>
      <c r="E219" s="62" t="s">
        <v>109</v>
      </c>
      <c r="F219" s="62" t="s">
        <v>17</v>
      </c>
      <c r="G219" s="46">
        <v>43371</v>
      </c>
      <c r="H219" s="47"/>
      <c r="I219" s="49"/>
      <c r="J219" s="62" t="s">
        <v>181</v>
      </c>
      <c r="K219" s="64" t="s">
        <v>555</v>
      </c>
      <c r="L219" s="76" t="s">
        <v>1142</v>
      </c>
      <c r="M219" s="50" t="s">
        <v>437</v>
      </c>
      <c r="N219" s="50" t="s">
        <v>1143</v>
      </c>
      <c r="O219" s="50" t="s">
        <v>1144</v>
      </c>
      <c r="P219" s="50" t="s">
        <v>79</v>
      </c>
      <c r="Q219" s="50"/>
      <c r="R219" s="78"/>
      <c r="S219" s="79" t="s">
        <v>831</v>
      </c>
      <c r="T219" s="82" t="s">
        <v>1563</v>
      </c>
      <c r="U219" s="93" t="s">
        <v>1645</v>
      </c>
      <c r="V219" s="103" t="s">
        <v>1016</v>
      </c>
      <c r="W219" s="100" t="s">
        <v>1683</v>
      </c>
      <c r="X219" s="90" t="s">
        <v>146</v>
      </c>
      <c r="Y219" s="91" t="s">
        <v>1646</v>
      </c>
      <c r="Z219" s="92"/>
      <c r="AA219" s="80"/>
      <c r="AB219" s="80"/>
      <c r="AC219" s="80"/>
    </row>
    <row r="220" spans="1:29" ht="39.950000000000003" customHeight="1" x14ac:dyDescent="0.25">
      <c r="A220" s="80" t="s">
        <v>1656</v>
      </c>
      <c r="B220" s="86" t="s">
        <v>1659</v>
      </c>
      <c r="C220" s="49" t="s">
        <v>19</v>
      </c>
      <c r="D220" s="49" t="s">
        <v>520</v>
      </c>
      <c r="E220" s="62" t="s">
        <v>108</v>
      </c>
      <c r="F220" s="62" t="s">
        <v>17</v>
      </c>
      <c r="G220" s="46">
        <v>43374</v>
      </c>
      <c r="H220" s="47">
        <v>43410</v>
      </c>
      <c r="I220" s="49">
        <v>36</v>
      </c>
      <c r="J220" s="62" t="s">
        <v>182</v>
      </c>
      <c r="K220" s="64" t="s">
        <v>555</v>
      </c>
      <c r="L220" s="76" t="s">
        <v>138</v>
      </c>
      <c r="M220" s="50" t="s">
        <v>74</v>
      </c>
      <c r="N220" s="50" t="s">
        <v>919</v>
      </c>
      <c r="O220" s="50"/>
      <c r="P220" s="50" t="s">
        <v>1209</v>
      </c>
      <c r="Q220" s="50">
        <v>0</v>
      </c>
      <c r="R220" s="78">
        <v>0</v>
      </c>
      <c r="S220" s="79" t="s">
        <v>464</v>
      </c>
      <c r="T220" s="82" t="s">
        <v>61</v>
      </c>
      <c r="U220" s="93" t="s">
        <v>1657</v>
      </c>
      <c r="V220" s="103" t="s">
        <v>1658</v>
      </c>
      <c r="W220" s="101" t="s">
        <v>1660</v>
      </c>
      <c r="X220" s="90" t="s">
        <v>146</v>
      </c>
      <c r="Y220" s="91" t="s">
        <v>79</v>
      </c>
      <c r="Z220" s="92"/>
      <c r="AA220" s="80"/>
      <c r="AB220" s="80"/>
      <c r="AC220" s="80"/>
    </row>
    <row r="221" spans="1:29" ht="39.950000000000003" customHeight="1" x14ac:dyDescent="0.25">
      <c r="A221" s="80" t="s">
        <v>1668</v>
      </c>
      <c r="B221" s="85" t="s">
        <v>1669</v>
      </c>
      <c r="C221" s="49" t="s">
        <v>18</v>
      </c>
      <c r="D221" s="49" t="s">
        <v>468</v>
      </c>
      <c r="E221" s="62" t="s">
        <v>611</v>
      </c>
      <c r="F221" s="62" t="s">
        <v>441</v>
      </c>
      <c r="G221" s="46">
        <v>43375</v>
      </c>
      <c r="H221" s="47"/>
      <c r="I221" s="49">
        <v>119.72</v>
      </c>
      <c r="J221" s="62" t="s">
        <v>158</v>
      </c>
      <c r="K221" s="64" t="s">
        <v>554</v>
      </c>
      <c r="L221" s="76" t="s">
        <v>1661</v>
      </c>
      <c r="M221" s="50" t="s">
        <v>1662</v>
      </c>
      <c r="N221" s="50" t="s">
        <v>84</v>
      </c>
      <c r="O221" s="50" t="s">
        <v>1663</v>
      </c>
      <c r="P221" s="50" t="s">
        <v>79</v>
      </c>
      <c r="Q221" s="50">
        <v>0</v>
      </c>
      <c r="R221" s="78">
        <v>0</v>
      </c>
      <c r="S221" s="79" t="s">
        <v>464</v>
      </c>
      <c r="T221" s="82" t="s">
        <v>1022</v>
      </c>
      <c r="U221" s="93" t="s">
        <v>1673</v>
      </c>
      <c r="V221" s="103" t="s">
        <v>285</v>
      </c>
      <c r="W221" s="101" t="s">
        <v>1741</v>
      </c>
      <c r="X221" s="90" t="s">
        <v>146</v>
      </c>
      <c r="Y221" s="91" t="s">
        <v>79</v>
      </c>
      <c r="Z221" s="92" t="s">
        <v>79</v>
      </c>
      <c r="AA221" s="80"/>
      <c r="AB221" s="80"/>
      <c r="AC221" s="80"/>
    </row>
    <row r="222" spans="1:29" ht="39.950000000000003" customHeight="1" x14ac:dyDescent="0.25">
      <c r="A222" s="80" t="s">
        <v>1670</v>
      </c>
      <c r="B222" s="85" t="s">
        <v>1671</v>
      </c>
      <c r="C222" s="49" t="s">
        <v>19</v>
      </c>
      <c r="D222" s="49" t="s">
        <v>468</v>
      </c>
      <c r="E222" s="62" t="s">
        <v>611</v>
      </c>
      <c r="F222" s="62" t="s">
        <v>774</v>
      </c>
      <c r="G222" s="46">
        <v>43375</v>
      </c>
      <c r="H222" s="47">
        <v>43383</v>
      </c>
      <c r="I222" s="49">
        <v>8</v>
      </c>
      <c r="J222" s="62" t="s">
        <v>158</v>
      </c>
      <c r="K222" s="64" t="s">
        <v>554</v>
      </c>
      <c r="L222" s="76" t="s">
        <v>1665</v>
      </c>
      <c r="M222" s="50" t="s">
        <v>75</v>
      </c>
      <c r="N222" s="50" t="s">
        <v>919</v>
      </c>
      <c r="O222" s="50" t="s">
        <v>1666</v>
      </c>
      <c r="P222" s="50" t="s">
        <v>79</v>
      </c>
      <c r="Q222" s="50">
        <v>0</v>
      </c>
      <c r="R222" s="78">
        <v>0</v>
      </c>
      <c r="S222" s="79" t="s">
        <v>464</v>
      </c>
      <c r="T222" s="82" t="s">
        <v>285</v>
      </c>
      <c r="U222" s="93" t="s">
        <v>1672</v>
      </c>
      <c r="V222" s="103" t="s">
        <v>285</v>
      </c>
      <c r="W222" s="100" t="s">
        <v>1717</v>
      </c>
      <c r="X222" s="90" t="s">
        <v>146</v>
      </c>
      <c r="Y222" s="91" t="s">
        <v>79</v>
      </c>
      <c r="Z222" s="92" t="s">
        <v>79</v>
      </c>
      <c r="AA222" s="80"/>
      <c r="AB222" s="80"/>
      <c r="AC222" s="80"/>
    </row>
    <row r="223" spans="1:29" ht="39.950000000000003" customHeight="1" x14ac:dyDescent="0.25">
      <c r="A223" s="80" t="s">
        <v>1684</v>
      </c>
      <c r="B223" s="86" t="s">
        <v>1685</v>
      </c>
      <c r="C223" s="49" t="s">
        <v>19</v>
      </c>
      <c r="D223" s="49" t="s">
        <v>520</v>
      </c>
      <c r="E223" s="62" t="s">
        <v>1686</v>
      </c>
      <c r="F223" s="62" t="s">
        <v>17</v>
      </c>
      <c r="G223" s="46">
        <v>43376</v>
      </c>
      <c r="H223" s="47"/>
      <c r="I223" s="49"/>
      <c r="J223" s="62" t="s">
        <v>1687</v>
      </c>
      <c r="K223" s="64"/>
      <c r="L223" s="76" t="s">
        <v>1688</v>
      </c>
      <c r="M223" s="50" t="s">
        <v>85</v>
      </c>
      <c r="N223" s="50" t="s">
        <v>1248</v>
      </c>
      <c r="O223" s="50" t="s">
        <v>1689</v>
      </c>
      <c r="P223" s="50" t="s">
        <v>79</v>
      </c>
      <c r="Q223" s="50"/>
      <c r="R223" s="78"/>
      <c r="S223" s="79" t="s">
        <v>464</v>
      </c>
      <c r="T223" s="82" t="s">
        <v>1787</v>
      </c>
      <c r="U223" s="93" t="s">
        <v>1690</v>
      </c>
      <c r="V223" s="103" t="s">
        <v>1690</v>
      </c>
      <c r="W223" s="100" t="s">
        <v>1788</v>
      </c>
      <c r="X223" s="90" t="s">
        <v>79</v>
      </c>
      <c r="Y223" s="91" t="s">
        <v>79</v>
      </c>
      <c r="Z223" s="92"/>
      <c r="AA223" s="80"/>
      <c r="AB223" s="80"/>
      <c r="AC223" s="80"/>
    </row>
    <row r="224" spans="1:29" ht="39.950000000000003" customHeight="1" x14ac:dyDescent="0.25">
      <c r="A224" s="80" t="s">
        <v>1709</v>
      </c>
      <c r="B224" s="85" t="s">
        <v>1710</v>
      </c>
      <c r="C224" s="49" t="s">
        <v>19</v>
      </c>
      <c r="D224" s="49" t="s">
        <v>468</v>
      </c>
      <c r="E224" s="62" t="s">
        <v>16</v>
      </c>
      <c r="F224" s="62" t="s">
        <v>774</v>
      </c>
      <c r="G224" s="46">
        <v>43383</v>
      </c>
      <c r="H224" s="47">
        <v>43388</v>
      </c>
      <c r="I224" s="49">
        <v>5</v>
      </c>
      <c r="J224" s="62" t="s">
        <v>554</v>
      </c>
      <c r="K224" s="64" t="s">
        <v>554</v>
      </c>
      <c r="L224" s="76" t="s">
        <v>113</v>
      </c>
      <c r="M224" s="50" t="s">
        <v>75</v>
      </c>
      <c r="N224" s="50"/>
      <c r="O224" s="50"/>
      <c r="P224" s="50"/>
      <c r="Q224" s="50">
        <v>0</v>
      </c>
      <c r="R224" s="78">
        <v>0</v>
      </c>
      <c r="S224" s="79" t="s">
        <v>464</v>
      </c>
      <c r="T224" s="82" t="s">
        <v>1022</v>
      </c>
      <c r="U224" s="93" t="s">
        <v>1012</v>
      </c>
      <c r="V224" s="103" t="s">
        <v>1000</v>
      </c>
      <c r="W224" s="100" t="s">
        <v>1742</v>
      </c>
      <c r="X224" s="90" t="s">
        <v>146</v>
      </c>
      <c r="Y224" s="91" t="s">
        <v>79</v>
      </c>
      <c r="Z224" s="92" t="s">
        <v>79</v>
      </c>
      <c r="AA224" s="80"/>
      <c r="AB224" s="80"/>
      <c r="AC224" s="80"/>
    </row>
    <row r="225" spans="1:29" ht="39.950000000000003" customHeight="1" x14ac:dyDescent="0.25">
      <c r="A225" s="80" t="s">
        <v>1711</v>
      </c>
      <c r="B225" s="86" t="s">
        <v>1712</v>
      </c>
      <c r="C225" s="49" t="s">
        <v>19</v>
      </c>
      <c r="D225" s="49" t="s">
        <v>520</v>
      </c>
      <c r="E225" s="62" t="s">
        <v>441</v>
      </c>
      <c r="F225" s="62" t="s">
        <v>774</v>
      </c>
      <c r="G225" s="46">
        <v>43411</v>
      </c>
      <c r="H225" s="47">
        <v>43418</v>
      </c>
      <c r="I225" s="49">
        <v>7</v>
      </c>
      <c r="J225" s="62" t="s">
        <v>175</v>
      </c>
      <c r="K225" s="64" t="s">
        <v>554</v>
      </c>
      <c r="L225" s="76" t="s">
        <v>415</v>
      </c>
      <c r="M225" s="50" t="s">
        <v>940</v>
      </c>
      <c r="N225" s="50"/>
      <c r="O225" s="50"/>
      <c r="P225" s="50"/>
      <c r="Q225" s="50">
        <v>0</v>
      </c>
      <c r="R225" s="78">
        <v>0</v>
      </c>
      <c r="S225" s="79" t="s">
        <v>464</v>
      </c>
      <c r="T225" s="82" t="s">
        <v>1022</v>
      </c>
      <c r="U225" s="93" t="s">
        <v>1015</v>
      </c>
      <c r="V225" s="103" t="s">
        <v>1776</v>
      </c>
      <c r="W225" s="100" t="s">
        <v>1777</v>
      </c>
      <c r="X225" s="90" t="s">
        <v>146</v>
      </c>
      <c r="Y225" s="91" t="s">
        <v>79</v>
      </c>
      <c r="Z225" s="92" t="s">
        <v>79</v>
      </c>
      <c r="AA225" s="80"/>
      <c r="AB225" s="80"/>
      <c r="AC225" s="80"/>
    </row>
    <row r="226" spans="1:29" ht="39.950000000000003" customHeight="1" x14ac:dyDescent="0.25">
      <c r="A226" s="80" t="s">
        <v>1743</v>
      </c>
      <c r="B226" s="85" t="s">
        <v>1744</v>
      </c>
      <c r="C226" s="49" t="s">
        <v>19</v>
      </c>
      <c r="D226" s="49" t="s">
        <v>520</v>
      </c>
      <c r="E226" s="62" t="s">
        <v>16</v>
      </c>
      <c r="F226" s="62" t="s">
        <v>17</v>
      </c>
      <c r="G226" s="46">
        <v>43388</v>
      </c>
      <c r="H226" s="47"/>
      <c r="I226" s="49"/>
      <c r="J226" s="62" t="s">
        <v>170</v>
      </c>
      <c r="K226" s="64" t="s">
        <v>554</v>
      </c>
      <c r="L226" s="76" t="s">
        <v>30</v>
      </c>
      <c r="M226" s="50" t="s">
        <v>75</v>
      </c>
      <c r="N226" s="50" t="s">
        <v>1209</v>
      </c>
      <c r="O226" s="50" t="s">
        <v>1209</v>
      </c>
      <c r="P226" s="50" t="s">
        <v>1209</v>
      </c>
      <c r="Q226" s="50"/>
      <c r="R226" s="78"/>
      <c r="S226" s="79" t="s">
        <v>464</v>
      </c>
      <c r="T226" s="82" t="s">
        <v>413</v>
      </c>
      <c r="U226" s="93" t="s">
        <v>953</v>
      </c>
      <c r="V226" s="103" t="s">
        <v>994</v>
      </c>
      <c r="W226" s="100" t="s">
        <v>1745</v>
      </c>
      <c r="X226" s="90" t="s">
        <v>79</v>
      </c>
      <c r="Y226" s="91" t="s">
        <v>1746</v>
      </c>
      <c r="Z226" s="92"/>
      <c r="AA226" s="80"/>
      <c r="AB226" s="80"/>
      <c r="AC226" s="80"/>
    </row>
    <row r="227" spans="1:29" ht="39.950000000000003" customHeight="1" x14ac:dyDescent="0.25">
      <c r="A227" s="80" t="s">
        <v>1747</v>
      </c>
      <c r="B227" s="85" t="s">
        <v>1748</v>
      </c>
      <c r="C227" s="49" t="s">
        <v>19</v>
      </c>
      <c r="D227" s="49" t="s">
        <v>468</v>
      </c>
      <c r="E227" s="62" t="s">
        <v>17</v>
      </c>
      <c r="F227" s="62" t="s">
        <v>17</v>
      </c>
      <c r="G227" s="46">
        <v>43392</v>
      </c>
      <c r="H227" s="47">
        <v>43396</v>
      </c>
      <c r="I227" s="49">
        <v>4</v>
      </c>
      <c r="J227" s="62" t="s">
        <v>555</v>
      </c>
      <c r="K227" s="64" t="s">
        <v>555</v>
      </c>
      <c r="L227" s="76" t="s">
        <v>51</v>
      </c>
      <c r="M227" s="50" t="s">
        <v>86</v>
      </c>
      <c r="N227" s="50"/>
      <c r="O227" s="50"/>
      <c r="P227" s="50" t="s">
        <v>79</v>
      </c>
      <c r="Q227" s="50">
        <v>0</v>
      </c>
      <c r="R227" s="78">
        <v>0</v>
      </c>
      <c r="S227" s="79" t="s">
        <v>464</v>
      </c>
      <c r="T227" s="82" t="s">
        <v>1749</v>
      </c>
      <c r="U227" s="93" t="s">
        <v>953</v>
      </c>
      <c r="V227" s="103" t="s">
        <v>999</v>
      </c>
      <c r="W227" s="101" t="s">
        <v>1750</v>
      </c>
      <c r="X227" s="90" t="s">
        <v>952</v>
      </c>
      <c r="Y227" s="91" t="s">
        <v>79</v>
      </c>
      <c r="Z227" s="92" t="s">
        <v>79</v>
      </c>
      <c r="AA227" s="80"/>
      <c r="AB227" s="80"/>
      <c r="AC227" s="80"/>
    </row>
    <row r="228" spans="1:29" ht="39.950000000000003" customHeight="1" x14ac:dyDescent="0.25">
      <c r="A228" s="80" t="s">
        <v>1751</v>
      </c>
      <c r="B228" s="85" t="s">
        <v>1752</v>
      </c>
      <c r="C228" s="49" t="s">
        <v>19</v>
      </c>
      <c r="D228" s="49" t="s">
        <v>520</v>
      </c>
      <c r="E228" s="62" t="s">
        <v>13</v>
      </c>
      <c r="F228" s="62" t="s">
        <v>17</v>
      </c>
      <c r="G228" s="46">
        <v>43403</v>
      </c>
      <c r="H228" s="47">
        <v>43410</v>
      </c>
      <c r="I228" s="49">
        <v>7</v>
      </c>
      <c r="J228" s="62" t="s">
        <v>162</v>
      </c>
      <c r="K228" s="64" t="s">
        <v>554</v>
      </c>
      <c r="L228" s="76" t="s">
        <v>461</v>
      </c>
      <c r="M228" s="50" t="s">
        <v>465</v>
      </c>
      <c r="N228" s="50" t="s">
        <v>1143</v>
      </c>
      <c r="O228" s="50" t="s">
        <v>79</v>
      </c>
      <c r="P228" s="50" t="s">
        <v>79</v>
      </c>
      <c r="Q228" s="50">
        <v>0</v>
      </c>
      <c r="R228" s="78">
        <v>0</v>
      </c>
      <c r="S228" s="79" t="s">
        <v>341</v>
      </c>
      <c r="T228" s="82" t="s">
        <v>1563</v>
      </c>
      <c r="U228" s="93" t="s">
        <v>1753</v>
      </c>
      <c r="V228" s="103" t="s">
        <v>995</v>
      </c>
      <c r="W228" s="101" t="s">
        <v>1757</v>
      </c>
      <c r="X228" s="90" t="s">
        <v>146</v>
      </c>
      <c r="Y228" s="91" t="s">
        <v>1754</v>
      </c>
      <c r="Z228" s="92"/>
      <c r="AA228" s="80"/>
      <c r="AB228" s="80"/>
      <c r="AC228" s="80"/>
    </row>
    <row r="229" spans="1:29" ht="39.950000000000003" customHeight="1" x14ac:dyDescent="0.25">
      <c r="A229" s="80" t="s">
        <v>1755</v>
      </c>
      <c r="B229" s="85" t="s">
        <v>1756</v>
      </c>
      <c r="C229" s="49" t="s">
        <v>19</v>
      </c>
      <c r="D229" s="49" t="s">
        <v>468</v>
      </c>
      <c r="E229" s="62" t="s">
        <v>1131</v>
      </c>
      <c r="F229" s="62" t="s">
        <v>17</v>
      </c>
      <c r="G229" s="46">
        <v>43389</v>
      </c>
      <c r="H229" s="47">
        <v>43412</v>
      </c>
      <c r="I229" s="49">
        <v>23</v>
      </c>
      <c r="J229" s="62" t="s">
        <v>176</v>
      </c>
      <c r="K229" s="64" t="s">
        <v>554</v>
      </c>
      <c r="L229" s="76" t="s">
        <v>851</v>
      </c>
      <c r="M229" s="50" t="s">
        <v>314</v>
      </c>
      <c r="N229" s="50"/>
      <c r="O229" s="50"/>
      <c r="P229" s="50"/>
      <c r="Q229" s="50">
        <v>0</v>
      </c>
      <c r="R229" s="78">
        <v>0</v>
      </c>
      <c r="S229" s="79" t="s">
        <v>1758</v>
      </c>
      <c r="T229" s="82" t="s">
        <v>1019</v>
      </c>
      <c r="U229" s="93" t="s">
        <v>1653</v>
      </c>
      <c r="V229" s="103" t="s">
        <v>1759</v>
      </c>
      <c r="W229" s="101" t="s">
        <v>1760</v>
      </c>
      <c r="X229" s="90" t="s">
        <v>146</v>
      </c>
      <c r="Y229" s="91" t="s">
        <v>79</v>
      </c>
      <c r="Z229" s="92"/>
      <c r="AA229" s="80"/>
      <c r="AB229" s="80"/>
      <c r="AC229" s="80"/>
    </row>
    <row r="230" spans="1:29" ht="39.950000000000003" customHeight="1" x14ac:dyDescent="0.25">
      <c r="A230" s="80" t="s">
        <v>1761</v>
      </c>
      <c r="B230" s="85" t="s">
        <v>1762</v>
      </c>
      <c r="C230" s="49" t="s">
        <v>19</v>
      </c>
      <c r="D230" s="49" t="s">
        <v>468</v>
      </c>
      <c r="E230" s="62" t="s">
        <v>16</v>
      </c>
      <c r="F230" s="62" t="s">
        <v>441</v>
      </c>
      <c r="G230" s="46">
        <v>43411</v>
      </c>
      <c r="H230" s="47">
        <v>43413</v>
      </c>
      <c r="I230" s="49">
        <v>2</v>
      </c>
      <c r="J230" s="62" t="s">
        <v>170</v>
      </c>
      <c r="K230" s="64" t="s">
        <v>554</v>
      </c>
      <c r="L230" s="76" t="s">
        <v>430</v>
      </c>
      <c r="M230" s="50" t="s">
        <v>433</v>
      </c>
      <c r="N230" s="50"/>
      <c r="O230" s="50"/>
      <c r="P230" s="50"/>
      <c r="Q230" s="50">
        <v>0</v>
      </c>
      <c r="R230" s="78">
        <v>0</v>
      </c>
      <c r="S230" s="79" t="s">
        <v>1758</v>
      </c>
      <c r="T230" s="82" t="s">
        <v>285</v>
      </c>
      <c r="U230" s="93" t="s">
        <v>1653</v>
      </c>
      <c r="V230" s="103" t="s">
        <v>68</v>
      </c>
      <c r="W230" s="101" t="s">
        <v>1767</v>
      </c>
      <c r="X230" s="90" t="s">
        <v>602</v>
      </c>
      <c r="Y230" s="91" t="s">
        <v>79</v>
      </c>
      <c r="Z230" s="92" t="s">
        <v>79</v>
      </c>
      <c r="AA230" s="80"/>
      <c r="AB230" s="80"/>
      <c r="AC230" s="80"/>
    </row>
    <row r="231" spans="1:29" ht="39.950000000000003" customHeight="1" x14ac:dyDescent="0.25">
      <c r="A231" s="80" t="s">
        <v>1763</v>
      </c>
      <c r="B231" s="85" t="s">
        <v>1764</v>
      </c>
      <c r="C231" s="49" t="s">
        <v>18</v>
      </c>
      <c r="D231" s="49" t="s">
        <v>468</v>
      </c>
      <c r="E231" s="62" t="s">
        <v>16</v>
      </c>
      <c r="F231" s="62" t="s">
        <v>938</v>
      </c>
      <c r="G231" s="46">
        <v>43451</v>
      </c>
      <c r="H231" s="47"/>
      <c r="I231" s="49">
        <v>43.72</v>
      </c>
      <c r="J231" s="62" t="s">
        <v>176</v>
      </c>
      <c r="K231" s="64" t="s">
        <v>554</v>
      </c>
      <c r="L231" s="76" t="s">
        <v>926</v>
      </c>
      <c r="M231" s="50" t="s">
        <v>149</v>
      </c>
      <c r="N231" s="50"/>
      <c r="O231" s="50"/>
      <c r="P231" s="50"/>
      <c r="Q231" s="50">
        <v>0</v>
      </c>
      <c r="R231" s="78">
        <v>0</v>
      </c>
      <c r="S231" s="79" t="s">
        <v>464</v>
      </c>
      <c r="T231" s="82" t="s">
        <v>285</v>
      </c>
      <c r="U231" s="93" t="s">
        <v>1765</v>
      </c>
      <c r="V231" s="103" t="s">
        <v>285</v>
      </c>
      <c r="W231" s="101" t="s">
        <v>1827</v>
      </c>
      <c r="X231" s="90" t="s">
        <v>952</v>
      </c>
      <c r="Y231" s="91" t="s">
        <v>79</v>
      </c>
      <c r="Z231" s="92" t="s">
        <v>79</v>
      </c>
      <c r="AA231" s="80"/>
      <c r="AB231" s="80"/>
      <c r="AC231" s="80"/>
    </row>
    <row r="232" spans="1:29" ht="39.950000000000003" customHeight="1" x14ac:dyDescent="0.25">
      <c r="A232" s="80" t="s">
        <v>1773</v>
      </c>
      <c r="B232" s="85" t="s">
        <v>1774</v>
      </c>
      <c r="C232" s="49" t="s">
        <v>18</v>
      </c>
      <c r="D232" s="49" t="s">
        <v>468</v>
      </c>
      <c r="E232" s="62" t="s">
        <v>16</v>
      </c>
      <c r="F232" s="62" t="s">
        <v>441</v>
      </c>
      <c r="G232" s="46">
        <v>43417</v>
      </c>
      <c r="H232" s="47"/>
      <c r="I232" s="49">
        <v>77.72</v>
      </c>
      <c r="J232" s="62" t="s">
        <v>176</v>
      </c>
      <c r="K232" s="64" t="s">
        <v>554</v>
      </c>
      <c r="L232" s="76" t="s">
        <v>1094</v>
      </c>
      <c r="M232" s="50" t="s">
        <v>187</v>
      </c>
      <c r="N232" s="50" t="s">
        <v>937</v>
      </c>
      <c r="O232" s="50" t="s">
        <v>1092</v>
      </c>
      <c r="P232" s="50" t="s">
        <v>79</v>
      </c>
      <c r="Q232" s="50">
        <v>0</v>
      </c>
      <c r="R232" s="78">
        <v>0</v>
      </c>
      <c r="S232" s="79" t="s">
        <v>464</v>
      </c>
      <c r="T232" s="82" t="s">
        <v>285</v>
      </c>
      <c r="U232" s="93" t="s">
        <v>1673</v>
      </c>
      <c r="V232" s="103" t="s">
        <v>285</v>
      </c>
      <c r="W232" s="101" t="s">
        <v>1789</v>
      </c>
      <c r="X232" s="90" t="s">
        <v>1</v>
      </c>
      <c r="Y232" s="91" t="s">
        <v>1775</v>
      </c>
      <c r="Z232" s="92" t="s">
        <v>79</v>
      </c>
      <c r="AA232" s="80"/>
      <c r="AB232" s="80"/>
      <c r="AC232" s="80"/>
    </row>
    <row r="233" spans="1:29" ht="39.950000000000003" customHeight="1" x14ac:dyDescent="0.25">
      <c r="A233" s="80" t="s">
        <v>1782</v>
      </c>
      <c r="B233" s="85" t="s">
        <v>1783</v>
      </c>
      <c r="C233" s="49" t="s">
        <v>19</v>
      </c>
      <c r="D233" s="49" t="s">
        <v>468</v>
      </c>
      <c r="E233" s="62" t="s">
        <v>16</v>
      </c>
      <c r="F233" s="62" t="s">
        <v>774</v>
      </c>
      <c r="G233" s="46">
        <v>43420</v>
      </c>
      <c r="H233" s="47">
        <v>43420</v>
      </c>
      <c r="I233" s="49">
        <v>0</v>
      </c>
      <c r="J233" s="62" t="s">
        <v>170</v>
      </c>
      <c r="K233" s="64" t="s">
        <v>554</v>
      </c>
      <c r="L233" s="76" t="s">
        <v>246</v>
      </c>
      <c r="M233" s="50" t="s">
        <v>212</v>
      </c>
      <c r="N233" s="50"/>
      <c r="O233" s="50"/>
      <c r="P233" s="50"/>
      <c r="Q233" s="50">
        <v>0</v>
      </c>
      <c r="R233" s="78">
        <v>0</v>
      </c>
      <c r="S233" s="79" t="s">
        <v>464</v>
      </c>
      <c r="T233" s="82" t="s">
        <v>1022</v>
      </c>
      <c r="U233" s="93" t="s">
        <v>953</v>
      </c>
      <c r="V233" s="103" t="s">
        <v>993</v>
      </c>
      <c r="W233" s="100" t="s">
        <v>1790</v>
      </c>
      <c r="X233" s="90" t="s">
        <v>952</v>
      </c>
      <c r="Y233" s="91" t="s">
        <v>1746</v>
      </c>
      <c r="Z233" s="92" t="s">
        <v>79</v>
      </c>
      <c r="AA233" s="80"/>
      <c r="AB233" s="80"/>
      <c r="AC233" s="80"/>
    </row>
    <row r="234" spans="1:29" ht="39.950000000000003" customHeight="1" x14ac:dyDescent="0.25">
      <c r="A234" s="80" t="s">
        <v>1791</v>
      </c>
      <c r="B234" s="85" t="s">
        <v>1792</v>
      </c>
      <c r="C234" s="49" t="s">
        <v>19</v>
      </c>
      <c r="D234" s="49" t="s">
        <v>468</v>
      </c>
      <c r="E234" s="62" t="s">
        <v>108</v>
      </c>
      <c r="F234" s="62" t="s">
        <v>938</v>
      </c>
      <c r="G234" s="46">
        <v>43438</v>
      </c>
      <c r="H234" s="47">
        <v>43447</v>
      </c>
      <c r="I234" s="49">
        <v>9</v>
      </c>
      <c r="J234" s="62" t="s">
        <v>180</v>
      </c>
      <c r="K234" s="64" t="s">
        <v>555</v>
      </c>
      <c r="L234" s="76" t="s">
        <v>123</v>
      </c>
      <c r="M234" s="50" t="s">
        <v>149</v>
      </c>
      <c r="N234" s="50"/>
      <c r="O234" s="50"/>
      <c r="P234" s="50" t="s">
        <v>1209</v>
      </c>
      <c r="Q234" s="50">
        <v>0</v>
      </c>
      <c r="R234" s="78">
        <v>0</v>
      </c>
      <c r="S234" s="79" t="s">
        <v>464</v>
      </c>
      <c r="T234" s="82" t="s">
        <v>285</v>
      </c>
      <c r="U234" s="93" t="s">
        <v>1793</v>
      </c>
      <c r="V234" s="103" t="s">
        <v>285</v>
      </c>
      <c r="W234" s="100" t="s">
        <v>1828</v>
      </c>
      <c r="X234" s="90" t="s">
        <v>79</v>
      </c>
      <c r="Y234" s="91" t="s">
        <v>79</v>
      </c>
      <c r="Z234" s="92"/>
      <c r="AA234" s="80"/>
      <c r="AB234" s="80"/>
      <c r="AC234" s="80"/>
    </row>
    <row r="235" spans="1:29" ht="39.950000000000003" customHeight="1" x14ac:dyDescent="0.25">
      <c r="A235" s="80" t="s">
        <v>1794</v>
      </c>
      <c r="B235" s="85" t="s">
        <v>1795</v>
      </c>
      <c r="C235" s="49" t="s">
        <v>19</v>
      </c>
      <c r="D235" s="49" t="s">
        <v>468</v>
      </c>
      <c r="E235" s="62" t="s">
        <v>108</v>
      </c>
      <c r="F235" s="62" t="s">
        <v>441</v>
      </c>
      <c r="G235" s="46">
        <v>43438</v>
      </c>
      <c r="H235" s="47">
        <v>43444</v>
      </c>
      <c r="I235" s="49">
        <v>6</v>
      </c>
      <c r="J235" s="62" t="s">
        <v>182</v>
      </c>
      <c r="K235" s="64" t="s">
        <v>555</v>
      </c>
      <c r="L235" s="76" t="s">
        <v>387</v>
      </c>
      <c r="M235" s="50" t="s">
        <v>314</v>
      </c>
      <c r="N235" s="50" t="s">
        <v>285</v>
      </c>
      <c r="O235" s="50" t="s">
        <v>285</v>
      </c>
      <c r="P235" s="50" t="s">
        <v>79</v>
      </c>
      <c r="Q235" s="50">
        <v>0</v>
      </c>
      <c r="R235" s="78">
        <v>0</v>
      </c>
      <c r="S235" s="79" t="s">
        <v>582</v>
      </c>
      <c r="T235" s="82" t="s">
        <v>1148</v>
      </c>
      <c r="U235" s="93" t="s">
        <v>1796</v>
      </c>
      <c r="V235" s="103" t="s">
        <v>1797</v>
      </c>
      <c r="W235" s="101" t="s">
        <v>1817</v>
      </c>
      <c r="X235" s="90" t="s">
        <v>79</v>
      </c>
      <c r="Y235" s="91" t="s">
        <v>79</v>
      </c>
      <c r="Z235" s="92"/>
      <c r="AA235" s="80"/>
      <c r="AB235" s="80"/>
      <c r="AC235" s="80"/>
    </row>
    <row r="236" spans="1:29" ht="39.950000000000003" customHeight="1" x14ac:dyDescent="0.25">
      <c r="A236" s="80" t="s">
        <v>1798</v>
      </c>
      <c r="B236" s="85" t="s">
        <v>1799</v>
      </c>
      <c r="C236" s="49" t="s">
        <v>18</v>
      </c>
      <c r="D236" s="49" t="s">
        <v>468</v>
      </c>
      <c r="E236" s="62" t="s">
        <v>108</v>
      </c>
      <c r="F236" s="62" t="s">
        <v>17</v>
      </c>
      <c r="G236" s="46">
        <v>43438</v>
      </c>
      <c r="H236" s="47"/>
      <c r="I236" s="49">
        <v>56.72</v>
      </c>
      <c r="J236" s="62" t="s">
        <v>181</v>
      </c>
      <c r="K236" s="64" t="s">
        <v>555</v>
      </c>
      <c r="L236" s="76" t="s">
        <v>432</v>
      </c>
      <c r="M236" s="50" t="s">
        <v>433</v>
      </c>
      <c r="N236" s="50" t="s">
        <v>1209</v>
      </c>
      <c r="O236" s="50" t="s">
        <v>1209</v>
      </c>
      <c r="P236" s="50" t="s">
        <v>1209</v>
      </c>
      <c r="Q236" s="50"/>
      <c r="R236" s="78"/>
      <c r="S236" s="79" t="s">
        <v>695</v>
      </c>
      <c r="T236" s="82" t="s">
        <v>285</v>
      </c>
      <c r="U236" s="93" t="s">
        <v>1653</v>
      </c>
      <c r="V236" s="103" t="s">
        <v>285</v>
      </c>
      <c r="W236" s="100" t="s">
        <v>1800</v>
      </c>
      <c r="X236" s="90" t="s">
        <v>79</v>
      </c>
      <c r="Y236" s="91" t="s">
        <v>79</v>
      </c>
      <c r="Z236" s="92"/>
      <c r="AA236" s="80"/>
      <c r="AB236" s="80"/>
      <c r="AC236" s="80"/>
    </row>
    <row r="237" spans="1:29" ht="39.950000000000003" customHeight="1" x14ac:dyDescent="0.25">
      <c r="A237" s="80" t="s">
        <v>1801</v>
      </c>
      <c r="B237" s="85" t="s">
        <v>1802</v>
      </c>
      <c r="C237" s="49" t="s">
        <v>18</v>
      </c>
      <c r="D237" s="49" t="s">
        <v>520</v>
      </c>
      <c r="E237" s="62" t="s">
        <v>108</v>
      </c>
      <c r="F237" s="62" t="s">
        <v>17</v>
      </c>
      <c r="G237" s="46">
        <v>43438</v>
      </c>
      <c r="H237" s="47"/>
      <c r="I237" s="49">
        <v>56.72</v>
      </c>
      <c r="J237" s="62" t="s">
        <v>182</v>
      </c>
      <c r="K237" s="64" t="s">
        <v>555</v>
      </c>
      <c r="L237" s="76" t="s">
        <v>1803</v>
      </c>
      <c r="M237" s="50" t="s">
        <v>85</v>
      </c>
      <c r="N237" s="50" t="s">
        <v>1403</v>
      </c>
      <c r="O237" s="50" t="s">
        <v>1804</v>
      </c>
      <c r="P237" s="50" t="s">
        <v>79</v>
      </c>
      <c r="Q237" s="50"/>
      <c r="R237" s="78"/>
      <c r="S237" s="79" t="s">
        <v>464</v>
      </c>
      <c r="T237" s="82" t="s">
        <v>285</v>
      </c>
      <c r="U237" s="93" t="s">
        <v>1805</v>
      </c>
      <c r="V237" s="103" t="s">
        <v>285</v>
      </c>
      <c r="W237" s="100" t="s">
        <v>1806</v>
      </c>
      <c r="X237" s="90" t="s">
        <v>79</v>
      </c>
      <c r="Y237" s="91" t="s">
        <v>79</v>
      </c>
      <c r="Z237" s="92"/>
      <c r="AA237" s="80"/>
      <c r="AB237" s="80"/>
      <c r="AC237" s="80"/>
    </row>
    <row r="238" spans="1:29" ht="39.950000000000003" customHeight="1" x14ac:dyDescent="0.25">
      <c r="A238" s="80" t="s">
        <v>1807</v>
      </c>
      <c r="B238" s="85" t="s">
        <v>1808</v>
      </c>
      <c r="C238" s="49" t="s">
        <v>18</v>
      </c>
      <c r="D238" s="49" t="s">
        <v>468</v>
      </c>
      <c r="E238" s="62" t="s">
        <v>16</v>
      </c>
      <c r="F238" s="62" t="s">
        <v>17</v>
      </c>
      <c r="G238" s="46">
        <v>43438</v>
      </c>
      <c r="H238" s="47"/>
      <c r="I238" s="49">
        <v>56.72</v>
      </c>
      <c r="J238" s="62" t="s">
        <v>159</v>
      </c>
      <c r="K238" s="64" t="s">
        <v>554</v>
      </c>
      <c r="L238" s="76" t="s">
        <v>121</v>
      </c>
      <c r="M238" s="50" t="s">
        <v>76</v>
      </c>
      <c r="N238" s="50" t="s">
        <v>968</v>
      </c>
      <c r="O238" s="50" t="s">
        <v>285</v>
      </c>
      <c r="P238" s="50" t="s">
        <v>121</v>
      </c>
      <c r="Q238" s="50"/>
      <c r="R238" s="78"/>
      <c r="S238" s="79" t="s">
        <v>464</v>
      </c>
      <c r="T238" s="82" t="s">
        <v>285</v>
      </c>
      <c r="U238" s="93" t="s">
        <v>1809</v>
      </c>
      <c r="V238" s="103" t="s">
        <v>285</v>
      </c>
      <c r="W238" s="101" t="s">
        <v>1810</v>
      </c>
      <c r="X238" s="90" t="s">
        <v>1</v>
      </c>
      <c r="Y238" s="91" t="s">
        <v>1811</v>
      </c>
      <c r="Z238" s="92"/>
      <c r="AA238" s="80"/>
      <c r="AB238" s="80"/>
      <c r="AC238" s="80"/>
    </row>
    <row r="239" spans="1:29" ht="39.950000000000003" customHeight="1" x14ac:dyDescent="0.25">
      <c r="A239" s="80" t="s">
        <v>1818</v>
      </c>
      <c r="B239" s="85" t="s">
        <v>1819</v>
      </c>
      <c r="C239" s="49" t="s">
        <v>19</v>
      </c>
      <c r="D239" s="49" t="s">
        <v>468</v>
      </c>
      <c r="E239" s="62" t="s">
        <v>715</v>
      </c>
      <c r="F239" s="62" t="s">
        <v>774</v>
      </c>
      <c r="G239" s="46">
        <v>43440</v>
      </c>
      <c r="H239" s="47">
        <v>43447</v>
      </c>
      <c r="I239" s="49">
        <v>7</v>
      </c>
      <c r="J239" s="62" t="s">
        <v>173</v>
      </c>
      <c r="K239" s="64" t="s">
        <v>554</v>
      </c>
      <c r="L239" s="76" t="s">
        <v>1103</v>
      </c>
      <c r="M239" s="50" t="s">
        <v>74</v>
      </c>
      <c r="N239" s="50" t="s">
        <v>919</v>
      </c>
      <c r="O239" s="50" t="s">
        <v>274</v>
      </c>
      <c r="P239" s="50" t="s">
        <v>79</v>
      </c>
      <c r="Q239" s="50">
        <v>0</v>
      </c>
      <c r="R239" s="78">
        <v>0</v>
      </c>
      <c r="S239" s="79" t="s">
        <v>464</v>
      </c>
      <c r="T239" s="82" t="s">
        <v>285</v>
      </c>
      <c r="U239" s="93" t="s">
        <v>1672</v>
      </c>
      <c r="V239" s="103" t="s">
        <v>285</v>
      </c>
      <c r="W239" s="100" t="s">
        <v>1829</v>
      </c>
      <c r="X239" s="90" t="s">
        <v>1</v>
      </c>
      <c r="Y239" s="91" t="s">
        <v>1820</v>
      </c>
      <c r="Z239" s="92"/>
      <c r="AA239" s="80"/>
      <c r="AB239" s="80"/>
      <c r="AC239" s="80"/>
    </row>
    <row r="240" spans="1:29" ht="39.950000000000003" customHeight="1" x14ac:dyDescent="0.25">
      <c r="A240" s="80" t="s">
        <v>1842</v>
      </c>
      <c r="B240" s="85" t="s">
        <v>1843</v>
      </c>
      <c r="C240" s="49" t="s">
        <v>19</v>
      </c>
      <c r="D240" s="49" t="s">
        <v>468</v>
      </c>
      <c r="E240" s="62" t="s">
        <v>1844</v>
      </c>
      <c r="F240" s="62" t="s">
        <v>774</v>
      </c>
      <c r="G240" s="46">
        <v>43444</v>
      </c>
      <c r="H240" s="47">
        <v>43474</v>
      </c>
      <c r="I240" s="49">
        <v>30</v>
      </c>
      <c r="J240" s="62" t="s">
        <v>445</v>
      </c>
      <c r="K240" s="64" t="s">
        <v>555</v>
      </c>
      <c r="L240" s="76" t="s">
        <v>48</v>
      </c>
      <c r="M240" s="50" t="s">
        <v>75</v>
      </c>
      <c r="N240" s="50"/>
      <c r="O240" s="50"/>
      <c r="P240" s="50" t="s">
        <v>1209</v>
      </c>
      <c r="Q240" s="50">
        <v>0</v>
      </c>
      <c r="R240" s="78">
        <v>0</v>
      </c>
      <c r="S240" s="79" t="s">
        <v>464</v>
      </c>
      <c r="T240" s="82" t="s">
        <v>1022</v>
      </c>
      <c r="U240" s="93" t="s">
        <v>1015</v>
      </c>
      <c r="V240" s="103" t="s">
        <v>1000</v>
      </c>
      <c r="W240" s="100" t="s">
        <v>1879</v>
      </c>
      <c r="X240" s="90" t="s">
        <v>3</v>
      </c>
      <c r="Y240" s="91" t="s">
        <v>1846</v>
      </c>
      <c r="Z240" s="92"/>
      <c r="AA240" s="80"/>
      <c r="AB240" s="80"/>
      <c r="AC240" s="80"/>
    </row>
    <row r="241" spans="1:29" ht="39.950000000000003" customHeight="1" x14ac:dyDescent="0.25">
      <c r="A241" s="80" t="s">
        <v>1847</v>
      </c>
      <c r="B241" s="86" t="s">
        <v>1848</v>
      </c>
      <c r="C241" s="49" t="s">
        <v>18</v>
      </c>
      <c r="D241" s="49" t="s">
        <v>468</v>
      </c>
      <c r="E241" s="62" t="s">
        <v>441</v>
      </c>
      <c r="F241" s="62" t="s">
        <v>17</v>
      </c>
      <c r="G241" s="46">
        <v>43467</v>
      </c>
      <c r="H241" s="47"/>
      <c r="I241" s="49">
        <v>27.72</v>
      </c>
      <c r="J241" s="62" t="s">
        <v>160</v>
      </c>
      <c r="K241" s="64" t="s">
        <v>554</v>
      </c>
      <c r="L241" s="76" t="s">
        <v>1142</v>
      </c>
      <c r="M241" s="50" t="s">
        <v>437</v>
      </c>
      <c r="N241" s="50" t="s">
        <v>1143</v>
      </c>
      <c r="O241" s="50" t="s">
        <v>1144</v>
      </c>
      <c r="P241" s="50" t="s">
        <v>79</v>
      </c>
      <c r="Q241" s="50"/>
      <c r="R241" s="78"/>
      <c r="S241" s="79" t="s">
        <v>582</v>
      </c>
      <c r="T241" s="82" t="s">
        <v>285</v>
      </c>
      <c r="U241" s="93" t="s">
        <v>1141</v>
      </c>
      <c r="V241" s="103" t="s">
        <v>285</v>
      </c>
      <c r="W241" s="101" t="s">
        <v>1880</v>
      </c>
      <c r="X241" s="90" t="s">
        <v>3</v>
      </c>
      <c r="Y241" s="91" t="s">
        <v>79</v>
      </c>
      <c r="Z241" s="92"/>
      <c r="AA241" s="80"/>
      <c r="AB241" s="80"/>
      <c r="AC241" s="80"/>
    </row>
    <row r="242" spans="1:29" ht="39.950000000000003" customHeight="1" x14ac:dyDescent="0.25">
      <c r="A242" s="80" t="s">
        <v>1850</v>
      </c>
      <c r="B242" s="86" t="s">
        <v>1851</v>
      </c>
      <c r="C242" s="49" t="s">
        <v>18</v>
      </c>
      <c r="D242" s="49" t="s">
        <v>520</v>
      </c>
      <c r="E242" s="62" t="s">
        <v>441</v>
      </c>
      <c r="F242" s="62" t="s">
        <v>17</v>
      </c>
      <c r="G242" s="46">
        <v>43468</v>
      </c>
      <c r="H242" s="47"/>
      <c r="I242" s="49">
        <v>26.72</v>
      </c>
      <c r="J242" s="62" t="s">
        <v>176</v>
      </c>
      <c r="K242" s="64" t="s">
        <v>554</v>
      </c>
      <c r="L242" s="76" t="s">
        <v>1142</v>
      </c>
      <c r="M242" s="50" t="s">
        <v>437</v>
      </c>
      <c r="N242" s="50" t="s">
        <v>1143</v>
      </c>
      <c r="O242" s="50" t="s">
        <v>1144</v>
      </c>
      <c r="P242" s="50" t="s">
        <v>79</v>
      </c>
      <c r="Q242" s="50"/>
      <c r="R242" s="78"/>
      <c r="S242" s="79" t="s">
        <v>582</v>
      </c>
      <c r="T242" s="82" t="s">
        <v>1721</v>
      </c>
      <c r="U242" s="93" t="s">
        <v>1549</v>
      </c>
      <c r="V242" s="103" t="s">
        <v>285</v>
      </c>
      <c r="W242" s="101" t="s">
        <v>1881</v>
      </c>
      <c r="X242" s="90" t="s">
        <v>602</v>
      </c>
      <c r="Y242" s="91" t="s">
        <v>79</v>
      </c>
      <c r="Z242" s="92"/>
      <c r="AA242" s="80"/>
      <c r="AB242" s="80"/>
      <c r="AC242" s="80"/>
    </row>
    <row r="243" spans="1:29" ht="39.950000000000003" customHeight="1" x14ac:dyDescent="0.25">
      <c r="A243" s="80" t="s">
        <v>1871</v>
      </c>
      <c r="B243" s="86" t="s">
        <v>1872</v>
      </c>
      <c r="C243" s="49" t="s">
        <v>18</v>
      </c>
      <c r="D243" s="49" t="s">
        <v>520</v>
      </c>
      <c r="E243" s="62" t="s">
        <v>441</v>
      </c>
      <c r="F243" s="62" t="s">
        <v>17</v>
      </c>
      <c r="G243" s="46">
        <v>43472</v>
      </c>
      <c r="H243" s="47"/>
      <c r="I243" s="49">
        <v>22.72</v>
      </c>
      <c r="J243" s="62" t="s">
        <v>1873</v>
      </c>
      <c r="K243" s="64"/>
      <c r="L243" s="76" t="s">
        <v>140</v>
      </c>
      <c r="M243" s="50" t="s">
        <v>140</v>
      </c>
      <c r="N243" s="50" t="s">
        <v>1209</v>
      </c>
      <c r="O243" s="50" t="s">
        <v>1209</v>
      </c>
      <c r="P243" s="50" t="s">
        <v>1209</v>
      </c>
      <c r="Q243" s="50"/>
      <c r="R243" s="78"/>
      <c r="S243" s="79" t="s">
        <v>1874</v>
      </c>
      <c r="T243" s="82" t="s">
        <v>1021</v>
      </c>
      <c r="U243" s="93" t="s">
        <v>1875</v>
      </c>
      <c r="V243" s="103" t="s">
        <v>285</v>
      </c>
      <c r="W243" s="100" t="s">
        <v>1876</v>
      </c>
      <c r="X243" s="90" t="s">
        <v>602</v>
      </c>
      <c r="Y243" s="91" t="s">
        <v>79</v>
      </c>
      <c r="Z243" s="92"/>
      <c r="AA243" s="80"/>
      <c r="AB243" s="80"/>
      <c r="AC243" s="80"/>
    </row>
    <row r="244" spans="1:29" ht="39.950000000000003" customHeight="1" x14ac:dyDescent="0.25">
      <c r="A244" s="80" t="s">
        <v>1882</v>
      </c>
      <c r="B244" s="85" t="s">
        <v>1883</v>
      </c>
      <c r="C244" s="49" t="s">
        <v>18</v>
      </c>
      <c r="D244" s="49" t="s">
        <v>468</v>
      </c>
      <c r="E244" s="62" t="s">
        <v>16</v>
      </c>
      <c r="F244" s="62" t="s">
        <v>17</v>
      </c>
      <c r="G244" s="46">
        <v>43474</v>
      </c>
      <c r="H244" s="47"/>
      <c r="I244" s="49">
        <v>20.72</v>
      </c>
      <c r="J244" s="62" t="s">
        <v>554</v>
      </c>
      <c r="K244" s="64" t="s">
        <v>554</v>
      </c>
      <c r="L244" s="76" t="s">
        <v>427</v>
      </c>
      <c r="M244" s="50" t="s">
        <v>88</v>
      </c>
      <c r="N244" s="50" t="s">
        <v>1209</v>
      </c>
      <c r="O244" s="50" t="s">
        <v>1209</v>
      </c>
      <c r="P244" s="50" t="s">
        <v>1209</v>
      </c>
      <c r="Q244" s="50"/>
      <c r="R244" s="78"/>
      <c r="S244" s="79" t="s">
        <v>464</v>
      </c>
      <c r="T244" s="82" t="s">
        <v>1721</v>
      </c>
      <c r="U244" s="93" t="s">
        <v>65</v>
      </c>
      <c r="V244" s="103" t="s">
        <v>1884</v>
      </c>
      <c r="W244" s="100" t="s">
        <v>1885</v>
      </c>
      <c r="X244" s="90" t="s">
        <v>602</v>
      </c>
      <c r="Y244" s="91" t="s">
        <v>79</v>
      </c>
      <c r="Z244" s="92"/>
      <c r="AA244" s="80"/>
      <c r="AB244" s="80"/>
      <c r="AC244" s="80"/>
    </row>
    <row r="245" spans="1:29" ht="39.950000000000003" customHeight="1" x14ac:dyDescent="0.25">
      <c r="A245" s="80" t="s">
        <v>1886</v>
      </c>
      <c r="B245" s="85" t="s">
        <v>1887</v>
      </c>
      <c r="C245" s="49" t="s">
        <v>19</v>
      </c>
      <c r="D245" s="49" t="s">
        <v>468</v>
      </c>
      <c r="E245" s="62" t="s">
        <v>1888</v>
      </c>
      <c r="F245" s="62" t="s">
        <v>17</v>
      </c>
      <c r="G245" s="46">
        <v>43488</v>
      </c>
      <c r="H245" s="47"/>
      <c r="I245" s="49"/>
      <c r="J245" s="62" t="s">
        <v>173</v>
      </c>
      <c r="K245" s="64" t="s">
        <v>554</v>
      </c>
      <c r="L245" s="76" t="s">
        <v>1889</v>
      </c>
      <c r="M245" s="50" t="s">
        <v>324</v>
      </c>
      <c r="N245" s="50" t="s">
        <v>1209</v>
      </c>
      <c r="O245" s="50" t="s">
        <v>1209</v>
      </c>
      <c r="P245" s="50" t="s">
        <v>1209</v>
      </c>
      <c r="Q245" s="50"/>
      <c r="R245" s="78"/>
      <c r="S245" s="79" t="s">
        <v>508</v>
      </c>
      <c r="T245" s="82" t="s">
        <v>413</v>
      </c>
      <c r="U245" s="93" t="s">
        <v>1542</v>
      </c>
      <c r="V245" s="103" t="s">
        <v>1209</v>
      </c>
      <c r="W245" s="101" t="s">
        <v>1890</v>
      </c>
      <c r="X245" s="90" t="s">
        <v>1</v>
      </c>
      <c r="Y245" s="91" t="s">
        <v>1820</v>
      </c>
      <c r="Z245" s="92"/>
      <c r="AA245" s="80"/>
      <c r="AB245" s="80"/>
      <c r="AC245" s="80"/>
    </row>
    <row r="246" spans="1:29" ht="39.950000000000003" customHeight="1" x14ac:dyDescent="0.25">
      <c r="A246" s="80"/>
      <c r="B246" s="85"/>
      <c r="C246" s="49"/>
      <c r="D246" s="49"/>
      <c r="E246" s="62"/>
      <c r="F246" s="62"/>
      <c r="G246" s="43"/>
      <c r="H246" s="49"/>
      <c r="I246" s="49"/>
      <c r="J246" s="62"/>
      <c r="K246" s="64"/>
      <c r="L246" s="76"/>
      <c r="M246" s="50"/>
      <c r="N246" s="50"/>
      <c r="O246" s="50"/>
      <c r="P246" s="50"/>
      <c r="Q246" s="50"/>
      <c r="R246" s="78"/>
      <c r="S246" s="79"/>
      <c r="T246" s="82"/>
      <c r="U246" s="93"/>
      <c r="V246" s="103"/>
      <c r="W246" s="100"/>
      <c r="X246" s="90"/>
      <c r="Y246" s="91"/>
      <c r="Z246" s="92"/>
      <c r="AA246" s="80"/>
      <c r="AB246" s="80"/>
      <c r="AC246" s="80"/>
    </row>
    <row r="247" spans="1:29" ht="39.950000000000003" customHeight="1" x14ac:dyDescent="0.25">
      <c r="A247" s="80"/>
      <c r="B247" s="85"/>
      <c r="C247" s="49"/>
      <c r="D247" s="49"/>
      <c r="E247" s="62"/>
      <c r="F247" s="62"/>
      <c r="G247" s="43"/>
      <c r="H247" s="49"/>
      <c r="I247" s="49"/>
      <c r="J247" s="62"/>
      <c r="K247" s="64"/>
      <c r="L247" s="76"/>
      <c r="M247" s="50"/>
      <c r="N247" s="50"/>
      <c r="O247" s="50"/>
      <c r="P247" s="50"/>
      <c r="Q247" s="50"/>
      <c r="R247" s="78"/>
      <c r="S247" s="79"/>
      <c r="T247" s="82"/>
      <c r="U247" s="93"/>
      <c r="V247" s="103"/>
      <c r="W247" s="100"/>
      <c r="X247" s="90"/>
      <c r="Y247" s="91"/>
      <c r="Z247" s="92"/>
      <c r="AA247" s="80"/>
      <c r="AB247" s="80"/>
      <c r="AC247" s="80"/>
    </row>
    <row r="248" spans="1:29" ht="39.950000000000003" customHeight="1" x14ac:dyDescent="0.25">
      <c r="A248" s="80"/>
      <c r="B248" s="85"/>
      <c r="C248" s="49"/>
      <c r="D248" s="49"/>
      <c r="E248" s="62"/>
      <c r="F248" s="62"/>
      <c r="G248" s="43"/>
      <c r="H248" s="49"/>
      <c r="I248" s="49"/>
      <c r="J248" s="62"/>
      <c r="K248" s="64"/>
      <c r="L248" s="76"/>
      <c r="M248" s="50"/>
      <c r="N248" s="50"/>
      <c r="O248" s="50"/>
      <c r="P248" s="50"/>
      <c r="Q248" s="50"/>
      <c r="R248" s="78"/>
      <c r="S248" s="79"/>
      <c r="T248" s="82"/>
      <c r="U248" s="93"/>
      <c r="V248" s="103"/>
      <c r="W248" s="100"/>
      <c r="X248" s="90"/>
      <c r="Y248" s="91"/>
      <c r="Z248" s="92"/>
      <c r="AA248" s="80"/>
      <c r="AB248" s="80"/>
      <c r="AC248" s="80"/>
    </row>
    <row r="249" spans="1:29" ht="39.950000000000003" customHeight="1" x14ac:dyDescent="0.25">
      <c r="A249" s="80"/>
      <c r="B249" s="85"/>
      <c r="C249" s="49"/>
      <c r="D249" s="49"/>
      <c r="E249" s="62"/>
      <c r="F249" s="62"/>
      <c r="G249" s="43"/>
      <c r="H249" s="49"/>
      <c r="I249" s="49"/>
      <c r="J249" s="62"/>
      <c r="K249" s="64"/>
      <c r="L249" s="76"/>
      <c r="M249" s="50"/>
      <c r="N249" s="50"/>
      <c r="O249" s="50"/>
      <c r="P249" s="50"/>
      <c r="Q249" s="50"/>
      <c r="R249" s="78"/>
      <c r="S249" s="79"/>
      <c r="T249" s="82"/>
      <c r="U249" s="93"/>
      <c r="V249" s="103"/>
      <c r="W249" s="100"/>
      <c r="X249" s="90"/>
      <c r="Y249" s="91"/>
      <c r="Z249" s="92"/>
      <c r="AA249" s="80"/>
      <c r="AB249" s="80"/>
      <c r="AC249" s="80"/>
    </row>
    <row r="250" spans="1:29" ht="39.950000000000003" customHeight="1" x14ac:dyDescent="0.25">
      <c r="A250" s="80"/>
      <c r="B250" s="85"/>
      <c r="C250" s="49"/>
      <c r="D250" s="49"/>
      <c r="E250" s="62"/>
      <c r="F250" s="62"/>
      <c r="G250" s="43"/>
      <c r="H250" s="49"/>
      <c r="I250" s="49"/>
      <c r="J250" s="62"/>
      <c r="K250" s="64"/>
      <c r="L250" s="76"/>
      <c r="M250" s="50"/>
      <c r="N250" s="50"/>
      <c r="O250" s="50"/>
      <c r="P250" s="50"/>
      <c r="Q250" s="50"/>
      <c r="R250" s="78"/>
      <c r="S250" s="79"/>
      <c r="T250" s="82"/>
      <c r="U250" s="93"/>
      <c r="V250" s="103"/>
      <c r="W250" s="100"/>
      <c r="X250" s="90"/>
      <c r="Y250" s="91"/>
      <c r="Z250" s="92"/>
      <c r="AA250" s="80"/>
      <c r="AB250" s="80"/>
      <c r="AC250" s="80"/>
    </row>
    <row r="251" spans="1:29" ht="39.950000000000003" customHeight="1" x14ac:dyDescent="0.25">
      <c r="A251" s="80"/>
      <c r="B251" s="85"/>
      <c r="C251" s="49"/>
      <c r="D251" s="49"/>
      <c r="E251" s="62"/>
      <c r="F251" s="62"/>
      <c r="G251" s="43"/>
      <c r="H251" s="49"/>
      <c r="I251" s="49"/>
      <c r="J251" s="62"/>
      <c r="K251" s="64"/>
      <c r="L251" s="76"/>
      <c r="M251" s="50"/>
      <c r="N251" s="50"/>
      <c r="O251" s="50"/>
      <c r="P251" s="50"/>
      <c r="Q251" s="50"/>
      <c r="R251" s="78"/>
      <c r="S251" s="79"/>
      <c r="T251" s="82"/>
      <c r="U251" s="93"/>
      <c r="V251" s="103"/>
      <c r="W251" s="100"/>
      <c r="X251" s="90"/>
      <c r="Y251" s="91"/>
      <c r="Z251" s="92"/>
      <c r="AA251" s="80"/>
      <c r="AB251" s="80"/>
      <c r="AC251" s="80"/>
    </row>
    <row r="252" spans="1:29" ht="39.950000000000003" customHeight="1" x14ac:dyDescent="0.25">
      <c r="A252" s="80"/>
      <c r="B252" s="85"/>
      <c r="C252" s="49"/>
      <c r="D252" s="49"/>
      <c r="E252" s="62"/>
      <c r="F252" s="62"/>
      <c r="G252" s="43"/>
      <c r="H252" s="49"/>
      <c r="I252" s="49"/>
      <c r="J252" s="62"/>
      <c r="K252" s="64"/>
      <c r="L252" s="76"/>
      <c r="M252" s="50"/>
      <c r="N252" s="50"/>
      <c r="O252" s="50"/>
      <c r="P252" s="50"/>
      <c r="Q252" s="50"/>
      <c r="R252" s="78"/>
      <c r="S252" s="79"/>
      <c r="T252" s="82"/>
      <c r="U252" s="93"/>
      <c r="V252" s="103"/>
      <c r="W252" s="100"/>
      <c r="X252" s="90"/>
      <c r="Y252" s="91"/>
      <c r="Z252" s="92"/>
      <c r="AA252" s="80"/>
      <c r="AB252" s="80"/>
      <c r="AC252" s="80"/>
    </row>
    <row r="253" spans="1:29" ht="39.950000000000003" customHeight="1" x14ac:dyDescent="0.25">
      <c r="A253" s="80"/>
      <c r="B253" s="85"/>
      <c r="C253" s="49"/>
      <c r="D253" s="49"/>
      <c r="E253" s="62"/>
      <c r="F253" s="62"/>
      <c r="G253" s="43"/>
      <c r="H253" s="49"/>
      <c r="I253" s="49"/>
      <c r="J253" s="62"/>
      <c r="K253" s="64"/>
      <c r="L253" s="76"/>
      <c r="M253" s="50"/>
      <c r="N253" s="50"/>
      <c r="O253" s="50"/>
      <c r="P253" s="50"/>
      <c r="Q253" s="50"/>
      <c r="R253" s="78"/>
      <c r="S253" s="79"/>
      <c r="T253" s="82"/>
      <c r="U253" s="93"/>
      <c r="V253" s="103"/>
      <c r="W253" s="100"/>
      <c r="X253" s="90"/>
      <c r="Y253" s="91"/>
      <c r="Z253" s="92"/>
      <c r="AA253" s="80"/>
      <c r="AB253" s="80"/>
      <c r="AC253" s="80"/>
    </row>
    <row r="254" spans="1:29" ht="39.950000000000003" customHeight="1" x14ac:dyDescent="0.25">
      <c r="A254" s="80"/>
      <c r="B254" s="85"/>
      <c r="C254" s="49"/>
      <c r="D254" s="49"/>
      <c r="E254" s="62"/>
      <c r="F254" s="62"/>
      <c r="G254" s="43"/>
      <c r="H254" s="49"/>
      <c r="I254" s="49"/>
      <c r="J254" s="62"/>
      <c r="K254" s="64"/>
      <c r="L254" s="76"/>
      <c r="M254" s="50"/>
      <c r="N254" s="50"/>
      <c r="O254" s="50"/>
      <c r="P254" s="50"/>
      <c r="Q254" s="50"/>
      <c r="R254" s="78"/>
      <c r="S254" s="79"/>
      <c r="T254" s="82"/>
      <c r="U254" s="93"/>
      <c r="V254" s="103"/>
      <c r="W254" s="100"/>
      <c r="X254" s="90"/>
      <c r="Y254" s="91"/>
      <c r="Z254" s="92"/>
      <c r="AA254" s="80"/>
      <c r="AB254" s="80"/>
      <c r="AC254" s="80"/>
    </row>
    <row r="255" spans="1:29" ht="39.950000000000003" customHeight="1" x14ac:dyDescent="0.25">
      <c r="A255" s="80"/>
      <c r="B255" s="85"/>
      <c r="C255" s="49"/>
      <c r="D255" s="49"/>
      <c r="E255" s="62"/>
      <c r="F255" s="62"/>
      <c r="G255" s="43"/>
      <c r="H255" s="49"/>
      <c r="I255" s="49"/>
      <c r="J255" s="62"/>
      <c r="K255" s="64"/>
      <c r="L255" s="76"/>
      <c r="M255" s="50"/>
      <c r="N255" s="50"/>
      <c r="O255" s="50"/>
      <c r="P255" s="50"/>
      <c r="Q255" s="50"/>
      <c r="R255" s="78"/>
      <c r="S255" s="79"/>
      <c r="T255" s="82"/>
      <c r="U255" s="93"/>
      <c r="V255" s="103"/>
      <c r="W255" s="100"/>
      <c r="X255" s="90"/>
      <c r="Y255" s="91"/>
      <c r="Z255" s="92"/>
      <c r="AA255" s="80"/>
      <c r="AB255" s="80"/>
      <c r="AC255" s="80"/>
    </row>
    <row r="256" spans="1:29" ht="39.950000000000003" customHeight="1" x14ac:dyDescent="0.25">
      <c r="A256" s="80"/>
      <c r="B256" s="85"/>
      <c r="C256" s="49"/>
      <c r="D256" s="49"/>
      <c r="E256" s="62"/>
      <c r="F256" s="62"/>
      <c r="G256" s="43"/>
      <c r="H256" s="49"/>
      <c r="I256" s="49"/>
      <c r="J256" s="62"/>
      <c r="K256" s="64"/>
      <c r="L256" s="76"/>
      <c r="M256" s="50"/>
      <c r="N256" s="50"/>
      <c r="O256" s="50"/>
      <c r="P256" s="50"/>
      <c r="Q256" s="50"/>
      <c r="R256" s="78"/>
      <c r="S256" s="79"/>
      <c r="T256" s="82"/>
      <c r="U256" s="93"/>
      <c r="V256" s="103"/>
      <c r="W256" s="100"/>
      <c r="X256" s="90"/>
      <c r="Y256" s="91"/>
      <c r="Z256" s="92"/>
      <c r="AA256" s="80"/>
      <c r="AB256" s="80"/>
      <c r="AC256" s="80"/>
    </row>
    <row r="257" spans="1:29" ht="39.950000000000003" customHeight="1" x14ac:dyDescent="0.25">
      <c r="A257" s="80"/>
      <c r="B257" s="85"/>
      <c r="C257" s="49"/>
      <c r="D257" s="49"/>
      <c r="E257" s="62"/>
      <c r="F257" s="62"/>
      <c r="G257" s="43"/>
      <c r="H257" s="49"/>
      <c r="I257" s="49"/>
      <c r="J257" s="62"/>
      <c r="K257" s="64"/>
      <c r="L257" s="76"/>
      <c r="M257" s="50"/>
      <c r="N257" s="50"/>
      <c r="O257" s="50"/>
      <c r="P257" s="50"/>
      <c r="Q257" s="50"/>
      <c r="R257" s="78"/>
      <c r="S257" s="79"/>
      <c r="T257" s="82"/>
      <c r="U257" s="93"/>
      <c r="V257" s="103"/>
      <c r="W257" s="100"/>
      <c r="X257" s="90"/>
      <c r="Y257" s="91"/>
      <c r="Z257" s="92"/>
      <c r="AA257" s="80"/>
      <c r="AB257" s="80"/>
      <c r="AC257" s="80"/>
    </row>
    <row r="258" spans="1:29" ht="39.950000000000003" customHeight="1" x14ac:dyDescent="0.25">
      <c r="A258" s="80"/>
      <c r="B258" s="85"/>
      <c r="C258" s="49"/>
      <c r="D258" s="49"/>
      <c r="E258" s="62"/>
      <c r="F258" s="62"/>
      <c r="G258" s="43"/>
      <c r="H258" s="49"/>
      <c r="I258" s="49"/>
      <c r="J258" s="62"/>
      <c r="K258" s="64"/>
      <c r="L258" s="76"/>
      <c r="M258" s="50"/>
      <c r="N258" s="50"/>
      <c r="O258" s="50"/>
      <c r="P258" s="50"/>
      <c r="Q258" s="50"/>
      <c r="R258" s="78"/>
      <c r="S258" s="79"/>
      <c r="T258" s="82"/>
      <c r="U258" s="93"/>
      <c r="V258" s="103"/>
      <c r="W258" s="100"/>
      <c r="X258" s="90"/>
      <c r="Y258" s="91"/>
      <c r="Z258" s="92"/>
      <c r="AA258" s="80"/>
      <c r="AB258" s="80"/>
      <c r="AC258" s="80"/>
    </row>
    <row r="259" spans="1:29" ht="39.950000000000003" customHeight="1" x14ac:dyDescent="0.25">
      <c r="A259" s="80"/>
      <c r="B259" s="85"/>
      <c r="C259" s="49"/>
      <c r="D259" s="49"/>
      <c r="E259" s="62"/>
      <c r="F259" s="62"/>
      <c r="G259" s="43"/>
      <c r="H259" s="49"/>
      <c r="I259" s="49"/>
      <c r="J259" s="62"/>
      <c r="K259" s="64"/>
      <c r="L259" s="76"/>
      <c r="M259" s="50"/>
      <c r="N259" s="50"/>
      <c r="O259" s="50"/>
      <c r="P259" s="50"/>
      <c r="Q259" s="50"/>
      <c r="R259" s="78"/>
      <c r="S259" s="79"/>
      <c r="T259" s="82"/>
      <c r="U259" s="93"/>
      <c r="V259" s="103"/>
      <c r="W259" s="100"/>
      <c r="X259" s="90"/>
      <c r="Y259" s="91"/>
      <c r="Z259" s="92"/>
      <c r="AA259" s="80"/>
      <c r="AB259" s="80"/>
      <c r="AC259" s="80"/>
    </row>
    <row r="260" spans="1:29" ht="39.950000000000003" customHeight="1" x14ac:dyDescent="0.25">
      <c r="A260" s="80"/>
      <c r="B260" s="85"/>
      <c r="C260" s="49"/>
      <c r="D260" s="49"/>
      <c r="E260" s="62"/>
      <c r="F260" s="62"/>
      <c r="G260" s="43"/>
      <c r="H260" s="49"/>
      <c r="I260" s="49"/>
      <c r="J260" s="62"/>
      <c r="K260" s="64"/>
      <c r="L260" s="76"/>
      <c r="M260" s="50"/>
      <c r="N260" s="50"/>
      <c r="O260" s="50"/>
      <c r="P260" s="50"/>
      <c r="Q260" s="50"/>
      <c r="R260" s="78"/>
      <c r="S260" s="79"/>
      <c r="T260" s="82"/>
      <c r="U260" s="93"/>
      <c r="V260" s="103"/>
      <c r="W260" s="100"/>
      <c r="X260" s="90"/>
      <c r="Y260" s="91"/>
      <c r="Z260" s="92"/>
      <c r="AA260" s="80"/>
      <c r="AB260" s="80"/>
      <c r="AC260" s="80"/>
    </row>
    <row r="261" spans="1:29" ht="39.950000000000003" customHeight="1" x14ac:dyDescent="0.25">
      <c r="A261" s="80"/>
      <c r="B261" s="85"/>
      <c r="C261" s="49"/>
      <c r="D261" s="49"/>
      <c r="E261" s="62"/>
      <c r="F261" s="62"/>
      <c r="G261" s="43"/>
      <c r="H261" s="49"/>
      <c r="I261" s="49"/>
      <c r="J261" s="62"/>
      <c r="K261" s="64"/>
      <c r="L261" s="76"/>
      <c r="M261" s="50"/>
      <c r="N261" s="50"/>
      <c r="O261" s="50"/>
      <c r="P261" s="50"/>
      <c r="Q261" s="50"/>
      <c r="R261" s="78"/>
      <c r="S261" s="79"/>
      <c r="T261" s="82"/>
      <c r="U261" s="93"/>
      <c r="V261" s="103"/>
      <c r="W261" s="100"/>
      <c r="X261" s="90"/>
      <c r="Y261" s="91"/>
      <c r="Z261" s="92"/>
      <c r="AA261" s="80"/>
      <c r="AB261" s="80"/>
      <c r="AC261" s="80"/>
    </row>
    <row r="262" spans="1:29" ht="39.950000000000003" customHeight="1" x14ac:dyDescent="0.25">
      <c r="A262" s="80"/>
      <c r="B262" s="85"/>
      <c r="C262" s="49"/>
      <c r="D262" s="49"/>
      <c r="E262" s="62"/>
      <c r="F262" s="62"/>
      <c r="G262" s="43"/>
      <c r="H262" s="49"/>
      <c r="I262" s="49"/>
      <c r="J262" s="62"/>
      <c r="K262" s="64"/>
      <c r="L262" s="76"/>
      <c r="M262" s="50"/>
      <c r="N262" s="50"/>
      <c r="O262" s="50"/>
      <c r="P262" s="50"/>
      <c r="Q262" s="50"/>
      <c r="R262" s="78"/>
      <c r="S262" s="79"/>
      <c r="T262" s="82"/>
      <c r="U262" s="93"/>
      <c r="V262" s="103"/>
      <c r="W262" s="100"/>
      <c r="X262" s="90"/>
      <c r="Y262" s="91"/>
      <c r="Z262" s="92"/>
      <c r="AA262" s="80"/>
      <c r="AB262" s="80"/>
      <c r="AC262" s="80"/>
    </row>
    <row r="263" spans="1:29" ht="39.950000000000003" customHeight="1" x14ac:dyDescent="0.25">
      <c r="A263" s="80"/>
      <c r="B263" s="85"/>
      <c r="C263" s="49"/>
      <c r="D263" s="49"/>
      <c r="E263" s="62"/>
      <c r="F263" s="62"/>
      <c r="G263" s="43"/>
      <c r="H263" s="49"/>
      <c r="I263" s="49"/>
      <c r="J263" s="62"/>
      <c r="K263" s="64"/>
      <c r="L263" s="76"/>
      <c r="M263" s="50"/>
      <c r="N263" s="50"/>
      <c r="O263" s="50"/>
      <c r="P263" s="50"/>
      <c r="Q263" s="50"/>
      <c r="R263" s="78"/>
      <c r="S263" s="79"/>
      <c r="T263" s="82"/>
      <c r="U263" s="93"/>
      <c r="V263" s="103"/>
      <c r="W263" s="100"/>
      <c r="X263" s="90"/>
      <c r="Y263" s="91"/>
      <c r="Z263" s="92"/>
      <c r="AA263" s="80"/>
      <c r="AB263" s="80"/>
      <c r="AC263" s="80"/>
    </row>
    <row r="264" spans="1:29" ht="39.950000000000003" customHeight="1" x14ac:dyDescent="0.25">
      <c r="A264" s="80"/>
      <c r="B264" s="85"/>
      <c r="C264" s="49"/>
      <c r="D264" s="49"/>
      <c r="E264" s="62"/>
      <c r="F264" s="62"/>
      <c r="G264" s="43"/>
      <c r="H264" s="49"/>
      <c r="I264" s="49"/>
      <c r="J264" s="62"/>
      <c r="K264" s="64"/>
      <c r="L264" s="76"/>
      <c r="M264" s="50"/>
      <c r="N264" s="50"/>
      <c r="O264" s="50"/>
      <c r="P264" s="50"/>
      <c r="Q264" s="50"/>
      <c r="R264" s="78"/>
      <c r="S264" s="79"/>
      <c r="T264" s="82"/>
      <c r="U264" s="93"/>
      <c r="V264" s="103"/>
      <c r="W264" s="100"/>
      <c r="X264" s="90"/>
      <c r="Y264" s="91"/>
      <c r="Z264" s="92"/>
      <c r="AA264" s="80"/>
      <c r="AB264" s="80"/>
      <c r="AC264" s="80"/>
    </row>
    <row r="265" spans="1:29" ht="39.950000000000003" customHeight="1" x14ac:dyDescent="0.25">
      <c r="A265" s="80"/>
      <c r="B265" s="85"/>
      <c r="C265" s="49"/>
      <c r="D265" s="49"/>
      <c r="E265" s="62"/>
      <c r="F265" s="62"/>
      <c r="G265" s="43"/>
      <c r="H265" s="49"/>
      <c r="I265" s="49"/>
      <c r="J265" s="62"/>
      <c r="K265" s="64"/>
      <c r="L265" s="76"/>
      <c r="M265" s="50"/>
      <c r="N265" s="50"/>
      <c r="O265" s="50"/>
      <c r="P265" s="50"/>
      <c r="Q265" s="50"/>
      <c r="R265" s="78"/>
      <c r="S265" s="79"/>
      <c r="T265" s="82"/>
      <c r="U265" s="93"/>
      <c r="V265" s="103"/>
      <c r="W265" s="100"/>
      <c r="X265" s="90"/>
      <c r="Y265" s="91"/>
      <c r="Z265" s="92"/>
      <c r="AA265" s="80"/>
      <c r="AB265" s="80"/>
      <c r="AC265" s="80"/>
    </row>
    <row r="266" spans="1:29" ht="39.950000000000003" customHeight="1" x14ac:dyDescent="0.25">
      <c r="A266" s="80"/>
      <c r="B266" s="85"/>
      <c r="C266" s="49"/>
      <c r="D266" s="49"/>
      <c r="E266" s="62"/>
      <c r="F266" s="62"/>
      <c r="G266" s="43"/>
      <c r="H266" s="49"/>
      <c r="I266" s="49"/>
      <c r="J266" s="62"/>
      <c r="K266" s="64"/>
      <c r="L266" s="76"/>
      <c r="M266" s="50"/>
      <c r="N266" s="50"/>
      <c r="O266" s="50"/>
      <c r="P266" s="50"/>
      <c r="Q266" s="50"/>
      <c r="R266" s="78"/>
      <c r="S266" s="79"/>
      <c r="T266" s="82"/>
      <c r="U266" s="93"/>
      <c r="V266" s="103"/>
      <c r="W266" s="100"/>
      <c r="X266" s="90"/>
      <c r="Y266" s="91"/>
      <c r="Z266" s="92"/>
      <c r="AA266" s="80"/>
      <c r="AB266" s="80"/>
      <c r="AC266" s="80"/>
    </row>
    <row r="267" spans="1:29" ht="39.950000000000003" customHeight="1" x14ac:dyDescent="0.25">
      <c r="A267" s="80"/>
      <c r="B267" s="85"/>
      <c r="C267" s="49"/>
      <c r="D267" s="49"/>
      <c r="E267" s="62"/>
      <c r="F267" s="62"/>
      <c r="G267" s="43"/>
      <c r="H267" s="49"/>
      <c r="I267" s="49"/>
      <c r="J267" s="62"/>
      <c r="K267" s="64"/>
      <c r="L267" s="76"/>
      <c r="M267" s="50"/>
      <c r="N267" s="50"/>
      <c r="O267" s="50"/>
      <c r="P267" s="50"/>
      <c r="Q267" s="50"/>
      <c r="R267" s="78"/>
      <c r="S267" s="79"/>
      <c r="T267" s="82"/>
      <c r="U267" s="93"/>
      <c r="V267" s="103"/>
      <c r="W267" s="100"/>
      <c r="X267" s="90"/>
      <c r="Y267" s="91"/>
      <c r="Z267" s="92"/>
      <c r="AA267" s="80"/>
      <c r="AB267" s="80"/>
      <c r="AC267" s="80"/>
    </row>
    <row r="268" spans="1:29" ht="39.950000000000003" customHeight="1" x14ac:dyDescent="0.25">
      <c r="A268" s="80"/>
      <c r="B268" s="85"/>
      <c r="C268" s="49"/>
      <c r="D268" s="49"/>
      <c r="E268" s="62"/>
      <c r="F268" s="62"/>
      <c r="G268" s="43"/>
      <c r="H268" s="49"/>
      <c r="I268" s="49"/>
      <c r="J268" s="62"/>
      <c r="K268" s="64"/>
      <c r="L268" s="76"/>
      <c r="M268" s="50"/>
      <c r="N268" s="50"/>
      <c r="O268" s="50"/>
      <c r="P268" s="50"/>
      <c r="Q268" s="50"/>
      <c r="R268" s="78"/>
      <c r="S268" s="79"/>
      <c r="T268" s="82"/>
      <c r="U268" s="93"/>
      <c r="V268" s="103"/>
      <c r="W268" s="100"/>
      <c r="X268" s="90"/>
      <c r="Y268" s="91"/>
      <c r="Z268" s="92"/>
      <c r="AA268" s="80"/>
      <c r="AB268" s="80"/>
      <c r="AC268" s="80"/>
    </row>
    <row r="269" spans="1:29" ht="39.950000000000003" customHeight="1" x14ac:dyDescent="0.25">
      <c r="A269" s="80"/>
      <c r="B269" s="85"/>
      <c r="C269" s="49"/>
      <c r="D269" s="49"/>
      <c r="E269" s="62"/>
      <c r="F269" s="62"/>
      <c r="G269" s="43"/>
      <c r="H269" s="49"/>
      <c r="I269" s="49"/>
      <c r="J269" s="62"/>
      <c r="K269" s="64"/>
      <c r="L269" s="76"/>
      <c r="M269" s="50"/>
      <c r="N269" s="50"/>
      <c r="O269" s="50"/>
      <c r="P269" s="50"/>
      <c r="Q269" s="50"/>
      <c r="R269" s="78"/>
      <c r="S269" s="79"/>
      <c r="T269" s="82"/>
      <c r="U269" s="93"/>
      <c r="V269" s="103"/>
      <c r="W269" s="100"/>
      <c r="X269" s="90"/>
      <c r="Y269" s="91"/>
      <c r="Z269" s="92"/>
      <c r="AA269" s="80"/>
      <c r="AB269" s="80"/>
      <c r="AC269" s="80"/>
    </row>
    <row r="270" spans="1:29" ht="39.950000000000003" customHeight="1" x14ac:dyDescent="0.25">
      <c r="A270" s="80"/>
      <c r="B270" s="85"/>
      <c r="C270" s="49"/>
      <c r="D270" s="49"/>
      <c r="E270" s="62"/>
      <c r="F270" s="62"/>
      <c r="G270" s="43"/>
      <c r="H270" s="49"/>
      <c r="I270" s="49"/>
      <c r="J270" s="62"/>
      <c r="K270" s="64"/>
      <c r="L270" s="76"/>
      <c r="M270" s="50"/>
      <c r="N270" s="50"/>
      <c r="O270" s="50"/>
      <c r="P270" s="50"/>
      <c r="Q270" s="50"/>
      <c r="R270" s="78"/>
      <c r="S270" s="79"/>
      <c r="T270" s="82"/>
      <c r="U270" s="93"/>
      <c r="V270" s="103"/>
      <c r="W270" s="100"/>
      <c r="X270" s="90"/>
      <c r="Y270" s="91"/>
      <c r="Z270" s="92"/>
      <c r="AA270" s="80"/>
      <c r="AB270" s="80"/>
      <c r="AC270" s="80"/>
    </row>
    <row r="271" spans="1:29" ht="39.950000000000003" customHeight="1" x14ac:dyDescent="0.25">
      <c r="A271" s="80"/>
      <c r="B271" s="85"/>
      <c r="C271" s="49"/>
      <c r="D271" s="49"/>
      <c r="E271" s="62"/>
      <c r="F271" s="62"/>
      <c r="G271" s="43"/>
      <c r="H271" s="49"/>
      <c r="I271" s="49"/>
      <c r="J271" s="62"/>
      <c r="K271" s="64"/>
      <c r="L271" s="76"/>
      <c r="M271" s="50"/>
      <c r="N271" s="50"/>
      <c r="O271" s="50"/>
      <c r="P271" s="50"/>
      <c r="Q271" s="50"/>
      <c r="R271" s="78"/>
      <c r="S271" s="79"/>
      <c r="T271" s="82"/>
      <c r="U271" s="93"/>
      <c r="V271" s="103"/>
      <c r="W271" s="100"/>
      <c r="X271" s="90"/>
      <c r="Y271" s="91"/>
      <c r="Z271" s="92"/>
      <c r="AA271" s="80"/>
      <c r="AB271" s="80"/>
      <c r="AC271" s="80"/>
    </row>
    <row r="272" spans="1:29" ht="39.950000000000003" customHeight="1" x14ac:dyDescent="0.25">
      <c r="A272" s="80"/>
      <c r="B272" s="85"/>
      <c r="C272" s="49"/>
      <c r="D272" s="49"/>
      <c r="E272" s="62"/>
      <c r="F272" s="62"/>
      <c r="G272" s="43"/>
      <c r="H272" s="49"/>
      <c r="I272" s="49"/>
      <c r="J272" s="62"/>
      <c r="K272" s="64"/>
      <c r="L272" s="76"/>
      <c r="M272" s="50"/>
      <c r="N272" s="50"/>
      <c r="O272" s="50"/>
      <c r="P272" s="50"/>
      <c r="Q272" s="50"/>
      <c r="R272" s="78"/>
      <c r="S272" s="79"/>
      <c r="T272" s="82"/>
      <c r="U272" s="93"/>
      <c r="V272" s="103"/>
      <c r="W272" s="100"/>
      <c r="X272" s="90"/>
      <c r="Y272" s="91"/>
      <c r="Z272" s="92"/>
      <c r="AA272" s="80"/>
      <c r="AB272" s="80"/>
      <c r="AC272" s="80"/>
    </row>
    <row r="273" spans="1:29" ht="39.950000000000003" customHeight="1" x14ac:dyDescent="0.25">
      <c r="A273" s="80"/>
      <c r="B273" s="85"/>
      <c r="C273" s="49"/>
      <c r="D273" s="49"/>
      <c r="E273" s="62"/>
      <c r="F273" s="62"/>
      <c r="G273" s="43"/>
      <c r="H273" s="49"/>
      <c r="I273" s="49"/>
      <c r="J273" s="62"/>
      <c r="K273" s="64"/>
      <c r="L273" s="76"/>
      <c r="M273" s="50"/>
      <c r="N273" s="50"/>
      <c r="O273" s="50"/>
      <c r="P273" s="50"/>
      <c r="Q273" s="50"/>
      <c r="R273" s="78"/>
      <c r="S273" s="79"/>
      <c r="T273" s="82"/>
      <c r="U273" s="93"/>
      <c r="V273" s="103"/>
      <c r="W273" s="100"/>
      <c r="X273" s="90"/>
      <c r="Y273" s="91"/>
      <c r="Z273" s="92"/>
      <c r="AA273" s="80"/>
      <c r="AB273" s="80"/>
      <c r="AC273" s="80"/>
    </row>
    <row r="274" spans="1:29" ht="39.950000000000003" customHeight="1" x14ac:dyDescent="0.25">
      <c r="A274" s="80"/>
      <c r="B274" s="85"/>
      <c r="C274" s="49"/>
      <c r="D274" s="49"/>
      <c r="E274" s="62"/>
      <c r="F274" s="62"/>
      <c r="G274" s="43"/>
      <c r="H274" s="49"/>
      <c r="I274" s="49"/>
      <c r="J274" s="62"/>
      <c r="K274" s="64"/>
      <c r="L274" s="76"/>
      <c r="M274" s="50"/>
      <c r="N274" s="50"/>
      <c r="O274" s="50"/>
      <c r="P274" s="50"/>
      <c r="Q274" s="50"/>
      <c r="R274" s="78"/>
      <c r="S274" s="79"/>
      <c r="T274" s="82"/>
      <c r="U274" s="93"/>
      <c r="V274" s="103"/>
      <c r="W274" s="100"/>
      <c r="X274" s="90"/>
      <c r="Y274" s="91"/>
      <c r="Z274" s="92"/>
      <c r="AA274" s="80"/>
      <c r="AB274" s="80"/>
      <c r="AC274" s="80"/>
    </row>
    <row r="275" spans="1:29" ht="39.950000000000003" customHeight="1" x14ac:dyDescent="0.25">
      <c r="A275" s="80"/>
      <c r="B275" s="85"/>
      <c r="C275" s="49"/>
      <c r="D275" s="49"/>
      <c r="E275" s="62"/>
      <c r="F275" s="62"/>
      <c r="G275" s="43"/>
      <c r="H275" s="49"/>
      <c r="I275" s="49"/>
      <c r="J275" s="62"/>
      <c r="K275" s="64"/>
      <c r="L275" s="76"/>
      <c r="M275" s="50"/>
      <c r="N275" s="50"/>
      <c r="O275" s="50"/>
      <c r="P275" s="50"/>
      <c r="Q275" s="50"/>
      <c r="R275" s="78"/>
      <c r="S275" s="79"/>
      <c r="T275" s="82"/>
      <c r="U275" s="93"/>
      <c r="V275" s="103"/>
      <c r="W275" s="100"/>
      <c r="X275" s="90"/>
      <c r="Y275" s="91"/>
      <c r="Z275" s="92"/>
      <c r="AA275" s="80"/>
      <c r="AB275" s="80"/>
      <c r="AC275" s="80"/>
    </row>
    <row r="276" spans="1:29" ht="39.950000000000003" customHeight="1" x14ac:dyDescent="0.25">
      <c r="A276" s="80"/>
      <c r="B276" s="85"/>
      <c r="C276" s="49"/>
      <c r="D276" s="49"/>
      <c r="E276" s="62"/>
      <c r="F276" s="62"/>
      <c r="G276" s="43"/>
      <c r="H276" s="49"/>
      <c r="I276" s="49"/>
      <c r="J276" s="62"/>
      <c r="K276" s="64"/>
      <c r="L276" s="76"/>
      <c r="M276" s="50"/>
      <c r="N276" s="50"/>
      <c r="O276" s="50"/>
      <c r="P276" s="50"/>
      <c r="Q276" s="50"/>
      <c r="R276" s="78"/>
      <c r="S276" s="79"/>
      <c r="T276" s="82"/>
      <c r="U276" s="93"/>
      <c r="V276" s="103"/>
      <c r="W276" s="100"/>
      <c r="X276" s="90"/>
      <c r="Y276" s="91"/>
      <c r="Z276" s="92"/>
      <c r="AA276" s="80"/>
      <c r="AB276" s="80"/>
      <c r="AC276" s="80"/>
    </row>
    <row r="277" spans="1:29" ht="39.950000000000003" customHeight="1" x14ac:dyDescent="0.25">
      <c r="A277" s="80"/>
      <c r="B277" s="85"/>
      <c r="C277" s="49"/>
      <c r="D277" s="49"/>
      <c r="E277" s="62"/>
      <c r="F277" s="62"/>
      <c r="G277" s="43"/>
      <c r="H277" s="49"/>
      <c r="I277" s="49"/>
      <c r="J277" s="62"/>
      <c r="K277" s="64"/>
      <c r="L277" s="76"/>
      <c r="M277" s="50"/>
      <c r="N277" s="50"/>
      <c r="O277" s="50"/>
      <c r="P277" s="50"/>
      <c r="Q277" s="50"/>
      <c r="R277" s="78"/>
      <c r="S277" s="79"/>
      <c r="T277" s="82"/>
      <c r="U277" s="93"/>
      <c r="V277" s="103"/>
      <c r="W277" s="100"/>
      <c r="X277" s="90"/>
      <c r="Y277" s="91"/>
      <c r="Z277" s="92"/>
      <c r="AA277" s="80"/>
      <c r="AB277" s="80"/>
      <c r="AC277" s="80"/>
    </row>
    <row r="278" spans="1:29" ht="39.950000000000003" customHeight="1" x14ac:dyDescent="0.25">
      <c r="A278" s="80"/>
      <c r="B278" s="85"/>
      <c r="C278" s="49"/>
      <c r="D278" s="49"/>
      <c r="E278" s="62"/>
      <c r="F278" s="62"/>
      <c r="G278" s="43"/>
      <c r="H278" s="49"/>
      <c r="I278" s="49"/>
      <c r="J278" s="62"/>
      <c r="K278" s="64"/>
      <c r="L278" s="76"/>
      <c r="M278" s="50"/>
      <c r="N278" s="50"/>
      <c r="O278" s="50"/>
      <c r="P278" s="50"/>
      <c r="Q278" s="50"/>
      <c r="R278" s="78"/>
      <c r="S278" s="79"/>
      <c r="T278" s="82"/>
      <c r="U278" s="93"/>
      <c r="V278" s="103"/>
      <c r="W278" s="100"/>
      <c r="X278" s="90"/>
      <c r="Y278" s="91"/>
      <c r="Z278" s="92"/>
      <c r="AA278" s="80"/>
      <c r="AB278" s="80"/>
      <c r="AC278" s="80"/>
    </row>
    <row r="279" spans="1:29" ht="39.950000000000003" customHeight="1" x14ac:dyDescent="0.25">
      <c r="A279" s="80"/>
      <c r="B279" s="85"/>
      <c r="C279" s="49"/>
      <c r="D279" s="49"/>
      <c r="E279" s="62"/>
      <c r="F279" s="62"/>
      <c r="G279" s="43"/>
      <c r="H279" s="49"/>
      <c r="I279" s="49"/>
      <c r="J279" s="62"/>
      <c r="K279" s="64"/>
      <c r="L279" s="76"/>
      <c r="M279" s="50"/>
      <c r="N279" s="50"/>
      <c r="O279" s="50"/>
      <c r="P279" s="50"/>
      <c r="Q279" s="50"/>
      <c r="R279" s="78"/>
      <c r="S279" s="79"/>
      <c r="T279" s="82"/>
      <c r="U279" s="93"/>
      <c r="V279" s="103"/>
      <c r="W279" s="100"/>
      <c r="X279" s="90"/>
      <c r="Y279" s="91"/>
      <c r="Z279" s="92"/>
      <c r="AA279" s="80"/>
      <c r="AB279" s="80"/>
      <c r="AC279" s="80"/>
    </row>
    <row r="280" spans="1:29" ht="39.950000000000003" customHeight="1" x14ac:dyDescent="0.25">
      <c r="A280" s="80"/>
      <c r="B280" s="85"/>
      <c r="C280" s="49"/>
      <c r="D280" s="49"/>
      <c r="E280" s="62"/>
      <c r="F280" s="62"/>
      <c r="G280" s="43"/>
      <c r="H280" s="49"/>
      <c r="I280" s="49"/>
      <c r="J280" s="62"/>
      <c r="K280" s="64"/>
      <c r="L280" s="76"/>
      <c r="M280" s="50"/>
      <c r="N280" s="50"/>
      <c r="O280" s="50"/>
      <c r="P280" s="50"/>
      <c r="Q280" s="50"/>
      <c r="R280" s="78"/>
      <c r="S280" s="79"/>
      <c r="T280" s="82"/>
      <c r="U280" s="93"/>
      <c r="V280" s="103"/>
      <c r="W280" s="100"/>
      <c r="X280" s="90"/>
      <c r="Y280" s="91"/>
      <c r="Z280" s="92"/>
      <c r="AA280" s="80"/>
      <c r="AB280" s="80"/>
      <c r="AC280" s="80"/>
    </row>
    <row r="281" spans="1:29" ht="39.950000000000003" customHeight="1" x14ac:dyDescent="0.25">
      <c r="A281" s="80"/>
      <c r="B281" s="85"/>
      <c r="C281" s="49"/>
      <c r="D281" s="49"/>
      <c r="E281" s="62"/>
      <c r="F281" s="62"/>
      <c r="G281" s="43"/>
      <c r="H281" s="49"/>
      <c r="I281" s="49"/>
      <c r="J281" s="62"/>
      <c r="K281" s="64"/>
      <c r="L281" s="76"/>
      <c r="M281" s="50"/>
      <c r="N281" s="50"/>
      <c r="O281" s="50"/>
      <c r="P281" s="50"/>
      <c r="Q281" s="50"/>
      <c r="R281" s="78"/>
      <c r="S281" s="79"/>
      <c r="T281" s="82"/>
      <c r="U281" s="93"/>
      <c r="V281" s="103"/>
      <c r="W281" s="100"/>
      <c r="X281" s="90"/>
      <c r="Y281" s="91"/>
      <c r="Z281" s="92"/>
      <c r="AA281" s="80"/>
      <c r="AB281" s="80"/>
      <c r="AC281" s="80"/>
    </row>
    <row r="282" spans="1:29" ht="39.950000000000003" customHeight="1" x14ac:dyDescent="0.25">
      <c r="A282" s="80"/>
      <c r="B282" s="85"/>
      <c r="C282" s="49"/>
      <c r="D282" s="49"/>
      <c r="E282" s="62"/>
      <c r="F282" s="62"/>
      <c r="G282" s="43"/>
      <c r="H282" s="49"/>
      <c r="I282" s="49"/>
      <c r="J282" s="62"/>
      <c r="K282" s="64"/>
      <c r="L282" s="76"/>
      <c r="M282" s="50"/>
      <c r="N282" s="50"/>
      <c r="O282" s="50"/>
      <c r="P282" s="50"/>
      <c r="Q282" s="50"/>
      <c r="R282" s="78"/>
      <c r="S282" s="79"/>
      <c r="T282" s="82"/>
      <c r="U282" s="93"/>
      <c r="V282" s="103"/>
      <c r="W282" s="100"/>
      <c r="X282" s="90"/>
      <c r="Y282" s="91"/>
      <c r="Z282" s="92"/>
      <c r="AA282" s="80"/>
      <c r="AB282" s="80"/>
      <c r="AC282" s="80"/>
    </row>
    <row r="283" spans="1:29" ht="39.950000000000003" customHeight="1" x14ac:dyDescent="0.25">
      <c r="A283" s="80"/>
      <c r="B283" s="85"/>
      <c r="C283" s="49"/>
      <c r="D283" s="49"/>
      <c r="E283" s="62"/>
      <c r="F283" s="62"/>
      <c r="G283" s="43"/>
      <c r="H283" s="49"/>
      <c r="I283" s="49"/>
      <c r="J283" s="62"/>
      <c r="K283" s="64"/>
      <c r="L283" s="76"/>
      <c r="M283" s="50"/>
      <c r="N283" s="50"/>
      <c r="O283" s="50"/>
      <c r="P283" s="50"/>
      <c r="Q283" s="50"/>
      <c r="R283" s="78"/>
      <c r="S283" s="79"/>
      <c r="T283" s="82"/>
      <c r="U283" s="93"/>
      <c r="V283" s="103"/>
      <c r="W283" s="100"/>
      <c r="X283" s="90"/>
      <c r="Y283" s="91"/>
      <c r="Z283" s="92"/>
      <c r="AA283" s="80"/>
      <c r="AB283" s="80"/>
      <c r="AC283" s="80"/>
    </row>
    <row r="284" spans="1:29" ht="39.950000000000003" customHeight="1" x14ac:dyDescent="0.25">
      <c r="A284" s="80"/>
      <c r="B284" s="85"/>
      <c r="C284" s="49"/>
      <c r="D284" s="49"/>
      <c r="E284" s="62"/>
      <c r="F284" s="62"/>
      <c r="G284" s="43"/>
      <c r="H284" s="49"/>
      <c r="I284" s="49"/>
      <c r="J284" s="62"/>
      <c r="K284" s="64"/>
      <c r="L284" s="76"/>
      <c r="M284" s="50"/>
      <c r="N284" s="50"/>
      <c r="O284" s="50"/>
      <c r="P284" s="50"/>
      <c r="Q284" s="50"/>
      <c r="R284" s="78"/>
      <c r="S284" s="79"/>
      <c r="T284" s="82"/>
      <c r="U284" s="93"/>
      <c r="V284" s="103"/>
      <c r="W284" s="100"/>
      <c r="X284" s="90"/>
      <c r="Y284" s="91"/>
      <c r="Z284" s="92"/>
      <c r="AA284" s="80"/>
      <c r="AB284" s="80"/>
      <c r="AC284" s="80"/>
    </row>
    <row r="285" spans="1:29" ht="39.950000000000003" customHeight="1" x14ac:dyDescent="0.25">
      <c r="A285" s="80"/>
      <c r="B285" s="85"/>
      <c r="C285" s="49"/>
      <c r="D285" s="49"/>
      <c r="E285" s="62"/>
      <c r="F285" s="62"/>
      <c r="G285" s="43"/>
      <c r="H285" s="49"/>
      <c r="I285" s="49"/>
      <c r="J285" s="62"/>
      <c r="K285" s="64"/>
      <c r="L285" s="76"/>
      <c r="M285" s="50"/>
      <c r="N285" s="50"/>
      <c r="O285" s="50"/>
      <c r="P285" s="50"/>
      <c r="Q285" s="50"/>
      <c r="R285" s="78"/>
      <c r="S285" s="79"/>
      <c r="T285" s="82"/>
      <c r="U285" s="93"/>
      <c r="V285" s="103"/>
      <c r="W285" s="100"/>
      <c r="X285" s="90"/>
      <c r="Y285" s="91"/>
      <c r="Z285" s="92"/>
      <c r="AA285" s="80"/>
      <c r="AB285" s="80"/>
      <c r="AC285" s="80"/>
    </row>
    <row r="286" spans="1:29" ht="39.950000000000003" customHeight="1" x14ac:dyDescent="0.25">
      <c r="A286" s="80"/>
      <c r="B286" s="85"/>
      <c r="C286" s="49"/>
      <c r="D286" s="49"/>
      <c r="E286" s="62"/>
      <c r="F286" s="62"/>
      <c r="G286" s="43"/>
      <c r="H286" s="49"/>
      <c r="I286" s="49"/>
      <c r="J286" s="62"/>
      <c r="K286" s="64"/>
      <c r="L286" s="76"/>
      <c r="M286" s="50"/>
      <c r="N286" s="50"/>
      <c r="O286" s="50"/>
      <c r="P286" s="50"/>
      <c r="Q286" s="50"/>
      <c r="R286" s="78"/>
      <c r="S286" s="79"/>
      <c r="T286" s="82"/>
      <c r="U286" s="93"/>
      <c r="V286" s="103"/>
      <c r="W286" s="100"/>
      <c r="X286" s="90"/>
      <c r="Y286" s="91"/>
      <c r="Z286" s="92"/>
      <c r="AA286" s="80"/>
      <c r="AB286" s="80"/>
      <c r="AC286" s="80"/>
    </row>
    <row r="287" spans="1:29" ht="39.950000000000003" customHeight="1" x14ac:dyDescent="0.25">
      <c r="A287" s="80"/>
      <c r="B287" s="85"/>
      <c r="C287" s="49"/>
      <c r="D287" s="49"/>
      <c r="E287" s="62"/>
      <c r="F287" s="62"/>
      <c r="G287" s="43"/>
      <c r="H287" s="49"/>
      <c r="I287" s="49"/>
      <c r="J287" s="62"/>
      <c r="K287" s="64"/>
      <c r="L287" s="76"/>
      <c r="M287" s="50"/>
      <c r="N287" s="50"/>
      <c r="O287" s="50"/>
      <c r="P287" s="50"/>
      <c r="Q287" s="50"/>
      <c r="R287" s="78"/>
      <c r="S287" s="79"/>
      <c r="T287" s="82"/>
      <c r="U287" s="93"/>
      <c r="V287" s="103"/>
      <c r="W287" s="100"/>
      <c r="X287" s="90"/>
      <c r="Y287" s="91"/>
      <c r="Z287" s="92"/>
      <c r="AA287" s="80"/>
      <c r="AB287" s="80"/>
      <c r="AC287" s="80"/>
    </row>
    <row r="288" spans="1:29" ht="39.950000000000003" customHeight="1" x14ac:dyDescent="0.25">
      <c r="A288" s="80"/>
      <c r="B288" s="85"/>
      <c r="C288" s="49"/>
      <c r="D288" s="49"/>
      <c r="E288" s="62"/>
      <c r="F288" s="62"/>
      <c r="G288" s="43"/>
      <c r="H288" s="49"/>
      <c r="I288" s="49"/>
      <c r="J288" s="62"/>
      <c r="K288" s="64"/>
      <c r="L288" s="76"/>
      <c r="M288" s="50"/>
      <c r="N288" s="50"/>
      <c r="O288" s="50"/>
      <c r="P288" s="50"/>
      <c r="Q288" s="50"/>
      <c r="R288" s="78"/>
      <c r="S288" s="79"/>
      <c r="T288" s="82"/>
      <c r="U288" s="93"/>
      <c r="V288" s="103"/>
      <c r="W288" s="100"/>
      <c r="X288" s="90"/>
      <c r="Y288" s="91"/>
      <c r="Z288" s="92"/>
      <c r="AA288" s="80"/>
      <c r="AB288" s="80"/>
      <c r="AC288" s="80"/>
    </row>
    <row r="289" spans="1:29" ht="39.950000000000003" customHeight="1" x14ac:dyDescent="0.25">
      <c r="A289" s="80"/>
      <c r="B289" s="85"/>
      <c r="C289" s="49"/>
      <c r="D289" s="49"/>
      <c r="E289" s="62"/>
      <c r="F289" s="62"/>
      <c r="G289" s="43"/>
      <c r="H289" s="49"/>
      <c r="I289" s="49"/>
      <c r="J289" s="62"/>
      <c r="K289" s="64"/>
      <c r="L289" s="76"/>
      <c r="M289" s="50"/>
      <c r="N289" s="50"/>
      <c r="O289" s="50"/>
      <c r="P289" s="50"/>
      <c r="Q289" s="50"/>
      <c r="R289" s="78"/>
      <c r="S289" s="79"/>
      <c r="T289" s="82"/>
      <c r="U289" s="93"/>
      <c r="V289" s="103"/>
      <c r="W289" s="100"/>
      <c r="X289" s="90"/>
      <c r="Y289" s="91"/>
      <c r="Z289" s="92"/>
      <c r="AA289" s="80"/>
      <c r="AB289" s="80"/>
      <c r="AC289" s="80"/>
    </row>
    <row r="290" spans="1:29" ht="39.950000000000003" customHeight="1" x14ac:dyDescent="0.25">
      <c r="A290" s="80"/>
      <c r="B290" s="85"/>
      <c r="C290" s="49"/>
      <c r="D290" s="49"/>
      <c r="E290" s="62"/>
      <c r="F290" s="62"/>
      <c r="G290" s="43"/>
      <c r="H290" s="49"/>
      <c r="I290" s="49"/>
      <c r="J290" s="62"/>
      <c r="K290" s="64"/>
      <c r="L290" s="76"/>
      <c r="M290" s="50"/>
      <c r="N290" s="50"/>
      <c r="O290" s="50"/>
      <c r="P290" s="50"/>
      <c r="Q290" s="50"/>
      <c r="R290" s="78"/>
      <c r="S290" s="79"/>
      <c r="T290" s="82"/>
      <c r="U290" s="93"/>
      <c r="V290" s="103"/>
      <c r="W290" s="100"/>
      <c r="X290" s="90"/>
      <c r="Y290" s="91"/>
      <c r="Z290" s="92"/>
      <c r="AA290" s="80"/>
      <c r="AB290" s="80"/>
      <c r="AC290" s="80"/>
    </row>
    <row r="291" spans="1:29" ht="39.950000000000003" customHeight="1" x14ac:dyDescent="0.25">
      <c r="A291" s="80"/>
      <c r="B291" s="85"/>
      <c r="C291" s="49"/>
      <c r="D291" s="49"/>
      <c r="E291" s="62"/>
      <c r="F291" s="62"/>
      <c r="G291" s="43"/>
      <c r="H291" s="49"/>
      <c r="I291" s="49"/>
      <c r="J291" s="62"/>
      <c r="K291" s="64"/>
      <c r="L291" s="76"/>
      <c r="M291" s="50"/>
      <c r="N291" s="50"/>
      <c r="O291" s="50"/>
      <c r="P291" s="50"/>
      <c r="Q291" s="50"/>
      <c r="R291" s="78"/>
      <c r="S291" s="79"/>
      <c r="T291" s="82"/>
      <c r="U291" s="93"/>
      <c r="V291" s="103"/>
      <c r="W291" s="100"/>
      <c r="X291" s="90"/>
      <c r="Y291" s="91"/>
      <c r="Z291" s="92"/>
      <c r="AA291" s="80"/>
      <c r="AB291" s="80"/>
      <c r="AC291" s="80"/>
    </row>
    <row r="292" spans="1:29" ht="39.950000000000003" customHeight="1" x14ac:dyDescent="0.25">
      <c r="A292" s="80"/>
      <c r="B292" s="85"/>
      <c r="C292" s="49"/>
      <c r="D292" s="49"/>
      <c r="E292" s="62"/>
      <c r="F292" s="62"/>
      <c r="G292" s="43"/>
      <c r="H292" s="49"/>
      <c r="I292" s="49"/>
      <c r="J292" s="62"/>
      <c r="K292" s="64"/>
      <c r="L292" s="76"/>
      <c r="M292" s="50"/>
      <c r="N292" s="50"/>
      <c r="O292" s="50"/>
      <c r="P292" s="50"/>
      <c r="Q292" s="50"/>
      <c r="R292" s="78"/>
      <c r="S292" s="79"/>
      <c r="T292" s="82"/>
      <c r="U292" s="93"/>
      <c r="V292" s="103"/>
      <c r="W292" s="100"/>
      <c r="X292" s="90"/>
      <c r="Y292" s="91"/>
      <c r="Z292" s="92"/>
      <c r="AA292" s="80"/>
      <c r="AB292" s="80"/>
      <c r="AC292" s="80"/>
    </row>
    <row r="293" spans="1:29" ht="39.950000000000003" customHeight="1" x14ac:dyDescent="0.25">
      <c r="A293" s="80"/>
      <c r="B293" s="85"/>
      <c r="C293" s="49"/>
      <c r="D293" s="49"/>
      <c r="E293" s="62"/>
      <c r="F293" s="62"/>
      <c r="G293" s="43"/>
      <c r="H293" s="49"/>
      <c r="I293" s="49"/>
      <c r="J293" s="62"/>
      <c r="K293" s="64"/>
      <c r="L293" s="76"/>
      <c r="M293" s="50"/>
      <c r="N293" s="50"/>
      <c r="O293" s="50"/>
      <c r="P293" s="50"/>
      <c r="Q293" s="50"/>
      <c r="R293" s="78"/>
      <c r="S293" s="79"/>
      <c r="T293" s="82"/>
      <c r="U293" s="93"/>
      <c r="V293" s="103"/>
      <c r="W293" s="100"/>
      <c r="X293" s="90"/>
      <c r="Y293" s="91"/>
      <c r="Z293" s="92"/>
      <c r="AA293" s="80"/>
      <c r="AB293" s="80"/>
      <c r="AC293" s="80"/>
    </row>
    <row r="294" spans="1:29" ht="39.950000000000003" customHeight="1" x14ac:dyDescent="0.25">
      <c r="A294" s="80"/>
      <c r="B294" s="85"/>
      <c r="C294" s="49"/>
      <c r="D294" s="49"/>
      <c r="E294" s="62"/>
      <c r="F294" s="62"/>
      <c r="G294" s="43"/>
      <c r="H294" s="49"/>
      <c r="I294" s="49"/>
      <c r="J294" s="62"/>
      <c r="K294" s="64"/>
      <c r="L294" s="76"/>
      <c r="M294" s="50"/>
      <c r="N294" s="50"/>
      <c r="O294" s="50"/>
      <c r="P294" s="50"/>
      <c r="Q294" s="50"/>
      <c r="R294" s="78"/>
      <c r="S294" s="79"/>
      <c r="T294" s="82"/>
      <c r="U294" s="93"/>
      <c r="V294" s="103"/>
      <c r="W294" s="100"/>
      <c r="X294" s="90"/>
      <c r="Y294" s="91"/>
      <c r="Z294" s="92"/>
      <c r="AA294" s="80"/>
      <c r="AB294" s="80"/>
      <c r="AC294" s="80"/>
    </row>
    <row r="295" spans="1:29" ht="39.950000000000003" customHeight="1" x14ac:dyDescent="0.25">
      <c r="A295" s="80"/>
      <c r="B295" s="85"/>
      <c r="C295" s="49"/>
      <c r="D295" s="49"/>
      <c r="E295" s="62"/>
      <c r="F295" s="62"/>
      <c r="G295" s="43"/>
      <c r="H295" s="49"/>
      <c r="I295" s="49"/>
      <c r="J295" s="62"/>
      <c r="K295" s="64"/>
      <c r="L295" s="76"/>
      <c r="M295" s="50"/>
      <c r="N295" s="50"/>
      <c r="O295" s="50"/>
      <c r="P295" s="50"/>
      <c r="Q295" s="50"/>
      <c r="R295" s="78"/>
      <c r="S295" s="79"/>
      <c r="T295" s="82"/>
      <c r="U295" s="93"/>
      <c r="V295" s="103"/>
      <c r="W295" s="100"/>
      <c r="X295" s="90"/>
      <c r="Y295" s="91"/>
      <c r="Z295" s="92"/>
      <c r="AA295" s="80"/>
      <c r="AB295" s="80"/>
      <c r="AC295" s="80"/>
    </row>
    <row r="296" spans="1:29" ht="39.950000000000003" customHeight="1" x14ac:dyDescent="0.25">
      <c r="A296" s="80"/>
      <c r="B296" s="85"/>
      <c r="C296" s="49"/>
      <c r="D296" s="49"/>
      <c r="E296" s="62"/>
      <c r="F296" s="62"/>
      <c r="G296" s="43"/>
      <c r="H296" s="49"/>
      <c r="I296" s="49"/>
      <c r="J296" s="62"/>
      <c r="K296" s="64"/>
      <c r="L296" s="76"/>
      <c r="M296" s="50"/>
      <c r="N296" s="50"/>
      <c r="O296" s="50"/>
      <c r="P296" s="50"/>
      <c r="Q296" s="50"/>
      <c r="R296" s="78"/>
      <c r="S296" s="79"/>
      <c r="T296" s="82"/>
      <c r="U296" s="93"/>
      <c r="V296" s="103"/>
      <c r="W296" s="100"/>
      <c r="X296" s="90"/>
      <c r="Y296" s="91"/>
      <c r="Z296" s="92"/>
      <c r="AA296" s="80"/>
      <c r="AB296" s="80"/>
      <c r="AC296" s="80"/>
    </row>
    <row r="297" spans="1:29" ht="39.950000000000003" customHeight="1" x14ac:dyDescent="0.25">
      <c r="A297" s="80"/>
      <c r="B297" s="85"/>
      <c r="C297" s="49"/>
      <c r="D297" s="49"/>
      <c r="E297" s="62"/>
      <c r="F297" s="62"/>
      <c r="G297" s="43"/>
      <c r="H297" s="49"/>
      <c r="I297" s="49"/>
      <c r="J297" s="62"/>
      <c r="K297" s="64"/>
      <c r="L297" s="76"/>
      <c r="M297" s="50"/>
      <c r="N297" s="50"/>
      <c r="O297" s="50"/>
      <c r="P297" s="50"/>
      <c r="Q297" s="50"/>
      <c r="R297" s="78"/>
      <c r="S297" s="79"/>
      <c r="T297" s="82"/>
      <c r="U297" s="93"/>
      <c r="V297" s="103"/>
      <c r="W297" s="100"/>
      <c r="X297" s="90"/>
      <c r="Y297" s="91"/>
      <c r="Z297" s="92"/>
      <c r="AA297" s="80"/>
      <c r="AB297" s="80"/>
      <c r="AC297" s="80"/>
    </row>
    <row r="298" spans="1:29" ht="39.950000000000003" customHeight="1" x14ac:dyDescent="0.25">
      <c r="A298" s="80"/>
      <c r="B298" s="85"/>
      <c r="C298" s="49"/>
      <c r="D298" s="49"/>
      <c r="E298" s="62"/>
      <c r="F298" s="62"/>
      <c r="G298" s="43"/>
      <c r="H298" s="49"/>
      <c r="I298" s="49"/>
      <c r="J298" s="62"/>
      <c r="K298" s="64"/>
      <c r="L298" s="76"/>
      <c r="M298" s="50"/>
      <c r="N298" s="50"/>
      <c r="O298" s="50"/>
      <c r="P298" s="50"/>
      <c r="Q298" s="50"/>
      <c r="R298" s="78"/>
      <c r="S298" s="79"/>
      <c r="T298" s="82"/>
      <c r="U298" s="93"/>
      <c r="V298" s="103"/>
      <c r="W298" s="100"/>
      <c r="X298" s="90"/>
      <c r="Y298" s="91"/>
      <c r="Z298" s="92"/>
      <c r="AA298" s="80"/>
      <c r="AB298" s="80"/>
      <c r="AC298" s="80"/>
    </row>
    <row r="299" spans="1:29" ht="39.950000000000003" customHeight="1" x14ac:dyDescent="0.25">
      <c r="A299" s="80"/>
      <c r="B299" s="85"/>
      <c r="C299" s="49"/>
      <c r="D299" s="49"/>
      <c r="E299" s="62"/>
      <c r="F299" s="62"/>
      <c r="G299" s="43"/>
      <c r="H299" s="49"/>
      <c r="I299" s="49"/>
      <c r="J299" s="62"/>
      <c r="K299" s="64"/>
      <c r="L299" s="76"/>
      <c r="M299" s="50"/>
      <c r="N299" s="50"/>
      <c r="O299" s="50"/>
      <c r="P299" s="50"/>
      <c r="Q299" s="50"/>
      <c r="R299" s="78"/>
      <c r="S299" s="79"/>
      <c r="T299" s="82"/>
      <c r="U299" s="93"/>
      <c r="V299" s="103"/>
      <c r="W299" s="100"/>
      <c r="X299" s="90"/>
      <c r="Y299" s="91"/>
      <c r="Z299" s="92"/>
      <c r="AA299" s="80"/>
      <c r="AB299" s="80"/>
      <c r="AC299" s="80"/>
    </row>
    <row r="300" spans="1:29" ht="39.950000000000003" customHeight="1" x14ac:dyDescent="0.25">
      <c r="A300" s="80"/>
      <c r="B300" s="85"/>
      <c r="C300" s="49"/>
      <c r="D300" s="49"/>
      <c r="E300" s="62"/>
      <c r="F300" s="62"/>
      <c r="G300" s="43"/>
      <c r="H300" s="49"/>
      <c r="I300" s="49"/>
      <c r="J300" s="62"/>
      <c r="K300" s="64"/>
      <c r="L300" s="76"/>
      <c r="M300" s="50"/>
      <c r="N300" s="50"/>
      <c r="O300" s="50"/>
      <c r="P300" s="50"/>
      <c r="Q300" s="50"/>
      <c r="R300" s="78"/>
      <c r="S300" s="79"/>
      <c r="T300" s="82"/>
      <c r="U300" s="93"/>
      <c r="V300" s="103"/>
      <c r="W300" s="100"/>
      <c r="X300" s="90"/>
      <c r="Y300" s="91"/>
      <c r="Z300" s="92"/>
      <c r="AA300" s="80"/>
      <c r="AB300" s="80"/>
      <c r="AC300" s="80"/>
    </row>
    <row r="301" spans="1:29" ht="39.950000000000003" customHeight="1" x14ac:dyDescent="0.25">
      <c r="A301" s="80"/>
      <c r="B301" s="85"/>
      <c r="C301" s="49"/>
      <c r="D301" s="49"/>
      <c r="E301" s="62"/>
      <c r="F301" s="62"/>
      <c r="G301" s="43"/>
      <c r="H301" s="49"/>
      <c r="I301" s="49"/>
      <c r="J301" s="62"/>
      <c r="K301" s="64"/>
      <c r="L301" s="76"/>
      <c r="M301" s="50"/>
      <c r="N301" s="50"/>
      <c r="O301" s="50"/>
      <c r="P301" s="50"/>
      <c r="Q301" s="50"/>
      <c r="R301" s="78"/>
      <c r="S301" s="79"/>
      <c r="T301" s="82"/>
      <c r="U301" s="93"/>
      <c r="V301" s="103"/>
      <c r="W301" s="100"/>
      <c r="X301" s="90"/>
      <c r="Y301" s="91"/>
      <c r="Z301" s="92"/>
      <c r="AA301" s="80"/>
      <c r="AB301" s="80"/>
      <c r="AC301" s="80"/>
    </row>
    <row r="302" spans="1:29" ht="39.950000000000003" customHeight="1" x14ac:dyDescent="0.25">
      <c r="A302" s="80"/>
      <c r="B302" s="85"/>
      <c r="C302" s="49"/>
      <c r="D302" s="49"/>
      <c r="E302" s="62"/>
      <c r="F302" s="62"/>
      <c r="G302" s="43"/>
      <c r="H302" s="49"/>
      <c r="I302" s="49"/>
      <c r="J302" s="62"/>
      <c r="K302" s="64"/>
      <c r="L302" s="76"/>
      <c r="M302" s="50"/>
      <c r="N302" s="50"/>
      <c r="O302" s="50"/>
      <c r="P302" s="50"/>
      <c r="Q302" s="50"/>
      <c r="R302" s="78"/>
      <c r="S302" s="79"/>
      <c r="T302" s="82"/>
      <c r="U302" s="93"/>
      <c r="V302" s="103"/>
      <c r="W302" s="100"/>
      <c r="X302" s="90"/>
      <c r="Y302" s="91"/>
      <c r="Z302" s="92"/>
      <c r="AA302" s="80"/>
      <c r="AB302" s="80"/>
      <c r="AC302" s="80"/>
    </row>
    <row r="303" spans="1:29" ht="39.950000000000003" customHeight="1" x14ac:dyDescent="0.25">
      <c r="A303" s="80"/>
      <c r="B303" s="85"/>
      <c r="C303" s="49"/>
      <c r="D303" s="49"/>
      <c r="E303" s="62"/>
      <c r="F303" s="62"/>
      <c r="G303" s="43"/>
      <c r="H303" s="49"/>
      <c r="I303" s="49"/>
      <c r="J303" s="62"/>
      <c r="K303" s="64"/>
      <c r="L303" s="76"/>
      <c r="M303" s="50"/>
      <c r="N303" s="50"/>
      <c r="O303" s="50"/>
      <c r="P303" s="50"/>
      <c r="Q303" s="50"/>
      <c r="R303" s="78"/>
      <c r="S303" s="79"/>
      <c r="T303" s="82"/>
      <c r="U303" s="93"/>
      <c r="V303" s="103"/>
      <c r="W303" s="100"/>
      <c r="X303" s="90"/>
      <c r="Y303" s="91"/>
      <c r="Z303" s="92"/>
      <c r="AA303" s="80"/>
      <c r="AB303" s="80"/>
      <c r="AC303" s="80"/>
    </row>
    <row r="304" spans="1:29" ht="39.950000000000003" customHeight="1" x14ac:dyDescent="0.25">
      <c r="A304" s="80"/>
      <c r="B304" s="85"/>
      <c r="C304" s="49"/>
      <c r="D304" s="49"/>
      <c r="E304" s="62"/>
      <c r="F304" s="62"/>
      <c r="G304" s="43"/>
      <c r="H304" s="49"/>
      <c r="I304" s="49"/>
      <c r="J304" s="62"/>
      <c r="K304" s="64"/>
      <c r="L304" s="76"/>
      <c r="M304" s="50"/>
      <c r="N304" s="50"/>
      <c r="O304" s="50"/>
      <c r="P304" s="50"/>
      <c r="Q304" s="50"/>
      <c r="R304" s="78"/>
      <c r="S304" s="79"/>
      <c r="T304" s="82"/>
      <c r="U304" s="93"/>
      <c r="V304" s="103"/>
      <c r="W304" s="100"/>
      <c r="X304" s="90"/>
      <c r="Y304" s="91"/>
      <c r="Z304" s="92"/>
      <c r="AA304" s="80"/>
      <c r="AB304" s="80"/>
      <c r="AC304" s="80"/>
    </row>
    <row r="305" spans="1:29" ht="39.950000000000003" customHeight="1" x14ac:dyDescent="0.25">
      <c r="A305" s="80"/>
      <c r="B305" s="85"/>
      <c r="C305" s="49"/>
      <c r="D305" s="49"/>
      <c r="E305" s="62"/>
      <c r="F305" s="62"/>
      <c r="G305" s="43"/>
      <c r="H305" s="49"/>
      <c r="I305" s="49"/>
      <c r="J305" s="62"/>
      <c r="K305" s="64"/>
      <c r="L305" s="76"/>
      <c r="M305" s="50"/>
      <c r="N305" s="50"/>
      <c r="O305" s="50"/>
      <c r="P305" s="50"/>
      <c r="Q305" s="50"/>
      <c r="R305" s="78"/>
      <c r="S305" s="79"/>
      <c r="T305" s="82"/>
      <c r="U305" s="93"/>
      <c r="V305" s="103"/>
      <c r="W305" s="100"/>
      <c r="X305" s="90"/>
      <c r="Y305" s="91"/>
      <c r="Z305" s="92"/>
      <c r="AA305" s="80"/>
      <c r="AB305" s="80"/>
      <c r="AC305" s="80"/>
    </row>
    <row r="306" spans="1:29" ht="39.950000000000003" customHeight="1" x14ac:dyDescent="0.25">
      <c r="A306" s="80"/>
      <c r="B306" s="85"/>
      <c r="C306" s="49"/>
      <c r="D306" s="49"/>
      <c r="E306" s="62"/>
      <c r="F306" s="62"/>
      <c r="G306" s="43"/>
      <c r="H306" s="49"/>
      <c r="I306" s="49"/>
      <c r="J306" s="62"/>
      <c r="K306" s="64"/>
      <c r="L306" s="76"/>
      <c r="M306" s="50"/>
      <c r="N306" s="50"/>
      <c r="O306" s="50"/>
      <c r="P306" s="50"/>
      <c r="Q306" s="50"/>
      <c r="R306" s="78"/>
      <c r="S306" s="79"/>
      <c r="T306" s="82"/>
      <c r="U306" s="93"/>
      <c r="V306" s="103"/>
      <c r="W306" s="100"/>
      <c r="X306" s="90"/>
      <c r="Y306" s="91"/>
      <c r="Z306" s="92"/>
      <c r="AA306" s="80"/>
      <c r="AB306" s="80"/>
      <c r="AC306" s="80"/>
    </row>
    <row r="307" spans="1:29" ht="39.950000000000003" customHeight="1" x14ac:dyDescent="0.25">
      <c r="A307" s="80"/>
      <c r="B307" s="85"/>
      <c r="C307" s="49"/>
      <c r="D307" s="49"/>
      <c r="E307" s="62"/>
      <c r="F307" s="62"/>
      <c r="G307" s="43"/>
      <c r="H307" s="49"/>
      <c r="I307" s="49"/>
      <c r="J307" s="62"/>
      <c r="K307" s="64"/>
      <c r="L307" s="76"/>
      <c r="M307" s="50"/>
      <c r="N307" s="50"/>
      <c r="O307" s="50"/>
      <c r="P307" s="50"/>
      <c r="Q307" s="50"/>
      <c r="R307" s="78"/>
      <c r="S307" s="79"/>
      <c r="T307" s="82"/>
      <c r="U307" s="93"/>
      <c r="V307" s="103"/>
      <c r="W307" s="100"/>
      <c r="X307" s="90"/>
      <c r="Y307" s="91"/>
      <c r="Z307" s="92"/>
      <c r="AA307" s="80"/>
      <c r="AB307" s="80"/>
      <c r="AC307" s="80"/>
    </row>
    <row r="308" spans="1:29" ht="39.950000000000003" customHeight="1" x14ac:dyDescent="0.25">
      <c r="A308" s="80"/>
      <c r="B308" s="85"/>
      <c r="C308" s="49"/>
      <c r="D308" s="49"/>
      <c r="E308" s="62"/>
      <c r="F308" s="62"/>
      <c r="G308" s="43"/>
      <c r="H308" s="49"/>
      <c r="I308" s="49"/>
      <c r="J308" s="62"/>
      <c r="K308" s="64"/>
      <c r="L308" s="76"/>
      <c r="M308" s="50"/>
      <c r="N308" s="50"/>
      <c r="O308" s="50"/>
      <c r="P308" s="50"/>
      <c r="Q308" s="50"/>
      <c r="R308" s="78"/>
      <c r="S308" s="79"/>
      <c r="T308" s="82"/>
      <c r="U308" s="93"/>
      <c r="V308" s="103"/>
      <c r="W308" s="100"/>
      <c r="X308" s="90"/>
      <c r="Y308" s="91"/>
      <c r="Z308" s="92"/>
      <c r="AA308" s="80"/>
      <c r="AB308" s="80"/>
      <c r="AC308" s="80"/>
    </row>
    <row r="309" spans="1:29" ht="39.950000000000003" customHeight="1" x14ac:dyDescent="0.25">
      <c r="A309" s="80"/>
      <c r="B309" s="85"/>
      <c r="C309" s="49"/>
      <c r="D309" s="49"/>
      <c r="E309" s="62"/>
      <c r="F309" s="62"/>
      <c r="G309" s="43"/>
      <c r="H309" s="49"/>
      <c r="I309" s="49"/>
      <c r="J309" s="62"/>
      <c r="K309" s="64"/>
      <c r="L309" s="76"/>
      <c r="M309" s="50"/>
      <c r="N309" s="50"/>
      <c r="O309" s="50"/>
      <c r="P309" s="50"/>
      <c r="Q309" s="50"/>
      <c r="R309" s="78"/>
      <c r="S309" s="79"/>
      <c r="T309" s="82"/>
      <c r="U309" s="93"/>
      <c r="V309" s="103"/>
      <c r="W309" s="100"/>
      <c r="X309" s="90"/>
      <c r="Y309" s="91"/>
      <c r="Z309" s="92"/>
      <c r="AA309" s="80"/>
      <c r="AB309" s="80"/>
      <c r="AC309" s="80"/>
    </row>
    <row r="310" spans="1:29" ht="39.950000000000003" customHeight="1" x14ac:dyDescent="0.25">
      <c r="A310" s="80"/>
      <c r="B310" s="85"/>
      <c r="C310" s="49"/>
      <c r="D310" s="49"/>
      <c r="E310" s="62"/>
      <c r="F310" s="62"/>
      <c r="G310" s="43"/>
      <c r="H310" s="49"/>
      <c r="I310" s="49"/>
      <c r="J310" s="62"/>
      <c r="K310" s="64"/>
      <c r="L310" s="76"/>
      <c r="M310" s="50"/>
      <c r="N310" s="50"/>
      <c r="O310" s="50"/>
      <c r="P310" s="50"/>
      <c r="Q310" s="50"/>
      <c r="R310" s="78"/>
      <c r="S310" s="79"/>
      <c r="T310" s="82"/>
      <c r="U310" s="93"/>
      <c r="V310" s="103"/>
      <c r="W310" s="100"/>
      <c r="X310" s="90"/>
      <c r="Y310" s="91"/>
      <c r="Z310" s="92"/>
      <c r="AA310" s="80"/>
      <c r="AB310" s="80"/>
      <c r="AC310" s="80"/>
    </row>
    <row r="311" spans="1:29" ht="39.950000000000003" customHeight="1" x14ac:dyDescent="0.25">
      <c r="A311" s="80"/>
      <c r="B311" s="87"/>
      <c r="C311" s="49"/>
      <c r="D311" s="49"/>
      <c r="E311" s="62"/>
      <c r="F311" s="62"/>
      <c r="G311" s="43"/>
      <c r="H311" s="49"/>
      <c r="I311" s="49"/>
      <c r="J311" s="62"/>
      <c r="K311" s="64"/>
      <c r="L311" s="76"/>
      <c r="M311" s="50"/>
      <c r="N311" s="50"/>
      <c r="O311" s="50"/>
      <c r="P311" s="50"/>
      <c r="Q311" s="50"/>
      <c r="R311" s="78"/>
      <c r="S311" s="79"/>
      <c r="T311" s="82"/>
      <c r="U311" s="93"/>
      <c r="V311" s="103"/>
      <c r="W311" s="100"/>
      <c r="X311" s="90"/>
      <c r="Y311" s="91"/>
      <c r="Z311" s="92"/>
      <c r="AA311" s="80"/>
      <c r="AB311" s="80"/>
      <c r="AC311" s="80"/>
    </row>
    <row r="312" spans="1:29" ht="39.950000000000003" customHeight="1" x14ac:dyDescent="0.25">
      <c r="A312" s="80"/>
      <c r="B312" s="87"/>
      <c r="C312" s="49"/>
      <c r="D312" s="49"/>
      <c r="E312" s="62"/>
      <c r="F312" s="62"/>
      <c r="G312" s="43"/>
      <c r="H312" s="49"/>
      <c r="I312" s="49"/>
      <c r="J312" s="62"/>
      <c r="K312" s="64"/>
      <c r="L312" s="76"/>
      <c r="M312" s="50"/>
      <c r="N312" s="50"/>
      <c r="O312" s="50"/>
      <c r="P312" s="50"/>
      <c r="Q312" s="50"/>
      <c r="R312" s="78"/>
      <c r="S312" s="79"/>
      <c r="T312" s="82"/>
      <c r="U312" s="93"/>
      <c r="V312" s="103"/>
      <c r="W312" s="100"/>
      <c r="X312" s="90"/>
      <c r="Y312" s="91"/>
      <c r="Z312" s="92"/>
      <c r="AA312" s="80"/>
      <c r="AB312" s="80"/>
      <c r="AC312" s="80"/>
    </row>
    <row r="313" spans="1:29" ht="39.950000000000003" customHeight="1" x14ac:dyDescent="0.25">
      <c r="A313" s="80"/>
      <c r="B313" s="87"/>
      <c r="C313" s="49"/>
      <c r="D313" s="49"/>
      <c r="E313" s="62"/>
      <c r="F313" s="62"/>
      <c r="G313" s="43"/>
      <c r="H313" s="49"/>
      <c r="I313" s="49"/>
      <c r="J313" s="62"/>
      <c r="K313" s="64"/>
      <c r="L313" s="76"/>
      <c r="M313" s="50"/>
      <c r="N313" s="50"/>
      <c r="O313" s="50"/>
      <c r="P313" s="50"/>
      <c r="Q313" s="50"/>
      <c r="R313" s="78"/>
      <c r="S313" s="79"/>
      <c r="T313" s="82"/>
      <c r="U313" s="93"/>
      <c r="V313" s="103"/>
      <c r="W313" s="100"/>
      <c r="X313" s="90"/>
      <c r="Y313" s="91"/>
      <c r="Z313" s="92"/>
      <c r="AA313" s="80"/>
      <c r="AB313" s="80"/>
      <c r="AC313" s="80"/>
    </row>
    <row r="314" spans="1:29" ht="39.950000000000003" customHeight="1" x14ac:dyDescent="0.25">
      <c r="A314" s="80"/>
      <c r="B314" s="87"/>
      <c r="C314" s="49"/>
      <c r="D314" s="49"/>
      <c r="E314" s="62"/>
      <c r="F314" s="62"/>
      <c r="G314" s="43"/>
      <c r="H314" s="49"/>
      <c r="I314" s="49"/>
      <c r="J314" s="62"/>
      <c r="K314" s="64"/>
      <c r="L314" s="76"/>
      <c r="M314" s="50"/>
      <c r="N314" s="50"/>
      <c r="O314" s="50"/>
      <c r="P314" s="50"/>
      <c r="Q314" s="50"/>
      <c r="R314" s="78"/>
      <c r="S314" s="79"/>
      <c r="T314" s="82"/>
      <c r="U314" s="93"/>
      <c r="V314" s="103"/>
      <c r="W314" s="100"/>
      <c r="X314" s="90"/>
      <c r="Y314" s="91"/>
      <c r="Z314" s="92"/>
      <c r="AA314" s="80"/>
      <c r="AB314" s="80"/>
      <c r="AC314" s="80"/>
    </row>
    <row r="315" spans="1:29" ht="39.950000000000003" customHeight="1" x14ac:dyDescent="0.25">
      <c r="A315" s="80"/>
      <c r="B315" s="87"/>
      <c r="C315" s="49"/>
      <c r="D315" s="49"/>
      <c r="E315" s="62"/>
      <c r="F315" s="62"/>
      <c r="G315" s="43"/>
      <c r="H315" s="49"/>
      <c r="I315" s="49"/>
      <c r="J315" s="62"/>
      <c r="K315" s="64"/>
      <c r="L315" s="76"/>
      <c r="M315" s="50"/>
      <c r="N315" s="50"/>
      <c r="O315" s="50"/>
      <c r="P315" s="50"/>
      <c r="Q315" s="50"/>
      <c r="R315" s="78"/>
      <c r="S315" s="79"/>
      <c r="T315" s="82"/>
      <c r="U315" s="93"/>
      <c r="V315" s="103"/>
      <c r="W315" s="100"/>
      <c r="X315" s="90"/>
      <c r="Y315" s="91"/>
      <c r="Z315" s="92"/>
      <c r="AA315" s="80"/>
      <c r="AB315" s="80"/>
      <c r="AC315" s="80"/>
    </row>
    <row r="316" spans="1:29" ht="39.950000000000003" customHeight="1" x14ac:dyDescent="0.25">
      <c r="A316" s="80"/>
      <c r="B316" s="87"/>
      <c r="C316" s="49"/>
      <c r="D316" s="49"/>
      <c r="E316" s="62"/>
      <c r="F316" s="62"/>
      <c r="G316" s="43"/>
      <c r="H316" s="49"/>
      <c r="I316" s="49"/>
      <c r="J316" s="62"/>
      <c r="K316" s="64"/>
      <c r="L316" s="76"/>
      <c r="M316" s="50"/>
      <c r="N316" s="50"/>
      <c r="O316" s="50"/>
      <c r="P316" s="50"/>
      <c r="Q316" s="50"/>
      <c r="R316" s="78"/>
      <c r="S316" s="79"/>
      <c r="T316" s="82"/>
      <c r="U316" s="93"/>
      <c r="V316" s="103"/>
      <c r="W316" s="100"/>
      <c r="X316" s="90"/>
      <c r="Y316" s="91"/>
      <c r="Z316" s="92"/>
      <c r="AA316" s="80"/>
      <c r="AB316" s="80"/>
      <c r="AC316" s="80"/>
    </row>
    <row r="317" spans="1:29" ht="39.950000000000003" customHeight="1" x14ac:dyDescent="0.25">
      <c r="A317" s="80"/>
      <c r="B317" s="87"/>
      <c r="C317" s="49"/>
      <c r="D317" s="49"/>
      <c r="E317" s="62"/>
      <c r="F317" s="62"/>
      <c r="G317" s="43"/>
      <c r="H317" s="49"/>
      <c r="I317" s="49"/>
      <c r="J317" s="62"/>
      <c r="K317" s="64"/>
      <c r="L317" s="76"/>
      <c r="M317" s="50"/>
      <c r="N317" s="50"/>
      <c r="O317" s="50"/>
      <c r="P317" s="50"/>
      <c r="Q317" s="50"/>
      <c r="R317" s="78"/>
      <c r="S317" s="79"/>
      <c r="T317" s="82"/>
      <c r="U317" s="93"/>
      <c r="V317" s="103"/>
      <c r="W317" s="100"/>
      <c r="X317" s="90"/>
      <c r="Y317" s="91"/>
      <c r="Z317" s="92"/>
      <c r="AA317" s="80"/>
      <c r="AB317" s="80"/>
      <c r="AC317" s="80"/>
    </row>
    <row r="318" spans="1:29" ht="39.950000000000003" customHeight="1" x14ac:dyDescent="0.25">
      <c r="A318" s="80"/>
      <c r="B318" s="87"/>
      <c r="C318" s="49"/>
      <c r="D318" s="49"/>
      <c r="E318" s="62"/>
      <c r="F318" s="62"/>
      <c r="G318" s="43"/>
      <c r="H318" s="49"/>
      <c r="I318" s="49"/>
      <c r="J318" s="62"/>
      <c r="K318" s="64"/>
      <c r="L318" s="76"/>
      <c r="M318" s="50"/>
      <c r="N318" s="50"/>
      <c r="O318" s="50"/>
      <c r="P318" s="50"/>
      <c r="Q318" s="50"/>
      <c r="R318" s="78"/>
      <c r="S318" s="79"/>
      <c r="T318" s="82"/>
      <c r="U318" s="93"/>
      <c r="V318" s="103"/>
      <c r="W318" s="100"/>
      <c r="X318" s="90"/>
      <c r="Y318" s="91"/>
      <c r="Z318" s="92"/>
      <c r="AA318" s="80"/>
      <c r="AB318" s="80"/>
      <c r="AC318" s="80"/>
    </row>
    <row r="319" spans="1:29" ht="39.950000000000003" customHeight="1" x14ac:dyDescent="0.25">
      <c r="A319" s="80"/>
      <c r="B319" s="87"/>
      <c r="C319" s="49"/>
      <c r="D319" s="49"/>
      <c r="E319" s="62"/>
      <c r="F319" s="62"/>
      <c r="G319" s="43"/>
      <c r="H319" s="49"/>
      <c r="I319" s="49"/>
      <c r="J319" s="62"/>
      <c r="K319" s="64"/>
      <c r="L319" s="76"/>
      <c r="M319" s="50"/>
      <c r="N319" s="50"/>
      <c r="O319" s="50"/>
      <c r="P319" s="50"/>
      <c r="Q319" s="50"/>
      <c r="R319" s="78"/>
      <c r="S319" s="79"/>
      <c r="T319" s="82"/>
      <c r="U319" s="93"/>
      <c r="V319" s="103"/>
      <c r="W319" s="100"/>
      <c r="X319" s="90"/>
      <c r="Y319" s="91"/>
      <c r="Z319" s="92"/>
      <c r="AA319" s="80"/>
      <c r="AB319" s="80"/>
      <c r="AC319" s="80"/>
    </row>
    <row r="320" spans="1:29" ht="39.950000000000003" customHeight="1" x14ac:dyDescent="0.25">
      <c r="A320" s="80"/>
      <c r="B320" s="87"/>
      <c r="C320" s="49"/>
      <c r="D320" s="49"/>
      <c r="E320" s="62"/>
      <c r="F320" s="62"/>
      <c r="G320" s="43"/>
      <c r="H320" s="49"/>
      <c r="I320" s="49"/>
      <c r="J320" s="62"/>
      <c r="K320" s="64"/>
      <c r="L320" s="76"/>
      <c r="M320" s="50"/>
      <c r="N320" s="50"/>
      <c r="O320" s="50"/>
      <c r="P320" s="50"/>
      <c r="Q320" s="50"/>
      <c r="R320" s="78"/>
      <c r="S320" s="79"/>
      <c r="T320" s="82"/>
      <c r="U320" s="93"/>
      <c r="V320" s="103"/>
      <c r="W320" s="100"/>
      <c r="X320" s="90"/>
      <c r="Y320" s="91"/>
      <c r="Z320" s="92"/>
      <c r="AA320" s="80"/>
      <c r="AB320" s="80"/>
      <c r="AC320" s="80"/>
    </row>
    <row r="321" spans="1:29" ht="39.950000000000003" customHeight="1" x14ac:dyDescent="0.25">
      <c r="A321" s="80"/>
      <c r="B321" s="87"/>
      <c r="C321" s="49"/>
      <c r="D321" s="49"/>
      <c r="E321" s="62"/>
      <c r="F321" s="62"/>
      <c r="G321" s="43"/>
      <c r="H321" s="49"/>
      <c r="I321" s="49"/>
      <c r="J321" s="62"/>
      <c r="K321" s="64"/>
      <c r="L321" s="76"/>
      <c r="M321" s="50"/>
      <c r="N321" s="50"/>
      <c r="O321" s="50"/>
      <c r="P321" s="50"/>
      <c r="Q321" s="50"/>
      <c r="R321" s="78"/>
      <c r="S321" s="79"/>
      <c r="T321" s="82"/>
      <c r="U321" s="93"/>
      <c r="V321" s="103"/>
      <c r="W321" s="100"/>
      <c r="X321" s="90"/>
      <c r="Y321" s="91"/>
      <c r="Z321" s="92"/>
      <c r="AA321" s="80"/>
      <c r="AB321" s="80"/>
      <c r="AC321" s="80"/>
    </row>
    <row r="322" spans="1:29" ht="39.950000000000003" customHeight="1" x14ac:dyDescent="0.25">
      <c r="A322" s="80"/>
      <c r="B322" s="87"/>
      <c r="C322" s="49"/>
      <c r="D322" s="49"/>
      <c r="E322" s="62"/>
      <c r="F322" s="62"/>
      <c r="G322" s="43"/>
      <c r="H322" s="49"/>
      <c r="I322" s="49"/>
      <c r="J322" s="62"/>
      <c r="K322" s="64"/>
      <c r="L322" s="76"/>
      <c r="M322" s="50"/>
      <c r="N322" s="50"/>
      <c r="O322" s="50"/>
      <c r="P322" s="50"/>
      <c r="Q322" s="50"/>
      <c r="R322" s="78"/>
      <c r="S322" s="79"/>
      <c r="T322" s="82"/>
      <c r="U322" s="93"/>
      <c r="V322" s="103"/>
      <c r="W322" s="100"/>
      <c r="X322" s="90"/>
      <c r="Y322" s="91"/>
      <c r="Z322" s="92"/>
      <c r="AA322" s="80"/>
      <c r="AB322" s="80"/>
      <c r="AC322" s="80"/>
    </row>
    <row r="323" spans="1:29" ht="39.950000000000003" customHeight="1" x14ac:dyDescent="0.25">
      <c r="A323" s="80"/>
      <c r="B323" s="87"/>
      <c r="C323" s="49"/>
      <c r="D323" s="49"/>
      <c r="E323" s="62"/>
      <c r="F323" s="62"/>
      <c r="G323" s="43"/>
      <c r="H323" s="49"/>
      <c r="I323" s="49"/>
      <c r="J323" s="62"/>
      <c r="K323" s="64"/>
      <c r="L323" s="76"/>
      <c r="M323" s="50"/>
      <c r="N323" s="50"/>
      <c r="O323" s="50"/>
      <c r="P323" s="50"/>
      <c r="Q323" s="50"/>
      <c r="R323" s="78"/>
      <c r="S323" s="79"/>
      <c r="T323" s="82"/>
      <c r="U323" s="93"/>
      <c r="V323" s="103"/>
      <c r="W323" s="100"/>
      <c r="X323" s="90"/>
      <c r="Y323" s="91"/>
      <c r="Z323" s="92"/>
      <c r="AA323" s="80"/>
      <c r="AB323" s="80"/>
      <c r="AC323" s="80"/>
    </row>
    <row r="324" spans="1:29" ht="39.950000000000003" customHeight="1" x14ac:dyDescent="0.25">
      <c r="A324" s="80"/>
      <c r="B324" s="87"/>
      <c r="C324" s="49"/>
      <c r="D324" s="49"/>
      <c r="E324" s="62"/>
      <c r="F324" s="62"/>
      <c r="G324" s="43"/>
      <c r="H324" s="49"/>
      <c r="I324" s="49"/>
      <c r="J324" s="62"/>
      <c r="K324" s="64"/>
      <c r="L324" s="76"/>
      <c r="M324" s="50"/>
      <c r="N324" s="50"/>
      <c r="O324" s="50"/>
      <c r="P324" s="50"/>
      <c r="Q324" s="50"/>
      <c r="R324" s="78"/>
      <c r="S324" s="79"/>
      <c r="T324" s="82"/>
      <c r="U324" s="93"/>
      <c r="V324" s="103"/>
      <c r="W324" s="100"/>
      <c r="X324" s="90"/>
      <c r="Y324" s="91"/>
      <c r="Z324" s="92"/>
      <c r="AA324" s="80"/>
      <c r="AB324" s="80"/>
      <c r="AC324" s="80"/>
    </row>
    <row r="325" spans="1:29" ht="39.950000000000003" customHeight="1" x14ac:dyDescent="0.25">
      <c r="A325" s="80"/>
      <c r="B325" s="87"/>
      <c r="C325" s="49"/>
      <c r="D325" s="49"/>
      <c r="E325" s="62"/>
      <c r="F325" s="62"/>
      <c r="G325" s="43"/>
      <c r="H325" s="49"/>
      <c r="I325" s="49"/>
      <c r="J325" s="62"/>
      <c r="K325" s="64"/>
      <c r="L325" s="76"/>
      <c r="M325" s="50"/>
      <c r="N325" s="50"/>
      <c r="O325" s="50"/>
      <c r="P325" s="50"/>
      <c r="Q325" s="50"/>
      <c r="R325" s="78"/>
      <c r="S325" s="79"/>
      <c r="T325" s="82"/>
      <c r="U325" s="93"/>
      <c r="V325" s="103"/>
      <c r="W325" s="100"/>
      <c r="X325" s="90"/>
      <c r="Y325" s="91"/>
      <c r="Z325" s="92"/>
      <c r="AA325" s="80"/>
      <c r="AB325" s="80"/>
      <c r="AC325" s="80"/>
    </row>
    <row r="326" spans="1:29" ht="39.950000000000003" customHeight="1" x14ac:dyDescent="0.25">
      <c r="A326" s="80"/>
      <c r="B326" s="87"/>
      <c r="C326" s="49"/>
      <c r="D326" s="49"/>
      <c r="E326" s="62"/>
      <c r="F326" s="62"/>
      <c r="G326" s="43"/>
      <c r="H326" s="49"/>
      <c r="I326" s="49"/>
      <c r="J326" s="62"/>
      <c r="K326" s="64"/>
      <c r="L326" s="76"/>
      <c r="M326" s="50"/>
      <c r="N326" s="50"/>
      <c r="O326" s="50"/>
      <c r="P326" s="50"/>
      <c r="Q326" s="50"/>
      <c r="R326" s="78"/>
      <c r="S326" s="79"/>
      <c r="T326" s="82"/>
      <c r="U326" s="93"/>
      <c r="V326" s="103"/>
      <c r="W326" s="100"/>
      <c r="X326" s="90"/>
      <c r="Y326" s="91"/>
      <c r="Z326" s="92"/>
      <c r="AA326" s="80"/>
      <c r="AB326" s="80"/>
      <c r="AC326" s="80"/>
    </row>
    <row r="327" spans="1:29" ht="39.950000000000003" customHeight="1" x14ac:dyDescent="0.25">
      <c r="A327" s="80"/>
      <c r="B327" s="87"/>
      <c r="C327" s="49"/>
      <c r="D327" s="49"/>
      <c r="E327" s="62"/>
      <c r="F327" s="62"/>
      <c r="G327" s="43"/>
      <c r="H327" s="49"/>
      <c r="I327" s="49"/>
      <c r="J327" s="62"/>
      <c r="K327" s="64"/>
      <c r="L327" s="76"/>
      <c r="M327" s="50"/>
      <c r="N327" s="50"/>
      <c r="O327" s="50"/>
      <c r="P327" s="50"/>
      <c r="Q327" s="50"/>
      <c r="R327" s="78"/>
      <c r="S327" s="79"/>
      <c r="T327" s="82"/>
      <c r="U327" s="93"/>
      <c r="V327" s="103"/>
      <c r="W327" s="100"/>
      <c r="X327" s="90"/>
      <c r="Y327" s="91"/>
      <c r="Z327" s="92"/>
      <c r="AA327" s="80"/>
      <c r="AB327" s="80"/>
      <c r="AC327" s="80"/>
    </row>
    <row r="328" spans="1:29" ht="39.950000000000003" customHeight="1" x14ac:dyDescent="0.25">
      <c r="A328" s="80"/>
      <c r="B328" s="87"/>
      <c r="C328" s="49"/>
      <c r="D328" s="49"/>
      <c r="E328" s="62"/>
      <c r="F328" s="62"/>
      <c r="G328" s="43"/>
      <c r="H328" s="49"/>
      <c r="I328" s="49"/>
      <c r="J328" s="62"/>
      <c r="K328" s="64"/>
      <c r="L328" s="76"/>
      <c r="M328" s="50"/>
      <c r="N328" s="50"/>
      <c r="O328" s="50"/>
      <c r="P328" s="50"/>
      <c r="Q328" s="50"/>
      <c r="R328" s="78"/>
      <c r="S328" s="79"/>
      <c r="T328" s="82"/>
      <c r="U328" s="93"/>
      <c r="V328" s="103"/>
      <c r="W328" s="100"/>
      <c r="X328" s="90"/>
      <c r="Y328" s="91"/>
      <c r="Z328" s="92"/>
      <c r="AA328" s="80"/>
      <c r="AB328" s="80"/>
      <c r="AC328" s="80"/>
    </row>
    <row r="329" spans="1:29" ht="39.950000000000003" customHeight="1" x14ac:dyDescent="0.25">
      <c r="A329" s="80"/>
      <c r="B329" s="87"/>
      <c r="C329" s="49"/>
      <c r="D329" s="49"/>
      <c r="E329" s="62"/>
      <c r="F329" s="62"/>
      <c r="G329" s="43"/>
      <c r="H329" s="49"/>
      <c r="I329" s="49"/>
      <c r="J329" s="62"/>
      <c r="K329" s="64"/>
      <c r="L329" s="76"/>
      <c r="M329" s="50"/>
      <c r="N329" s="50"/>
      <c r="O329" s="50"/>
      <c r="P329" s="50"/>
      <c r="Q329" s="50"/>
      <c r="R329" s="78"/>
      <c r="S329" s="79"/>
      <c r="T329" s="82"/>
      <c r="U329" s="93"/>
      <c r="V329" s="103"/>
      <c r="W329" s="100"/>
      <c r="X329" s="90"/>
      <c r="Y329" s="91"/>
      <c r="Z329" s="92"/>
      <c r="AA329" s="80"/>
      <c r="AB329" s="80"/>
      <c r="AC329" s="80"/>
    </row>
    <row r="330" spans="1:29" ht="39.950000000000003" customHeight="1" x14ac:dyDescent="0.25">
      <c r="A330" s="80"/>
      <c r="B330" s="87"/>
      <c r="C330" s="49"/>
      <c r="D330" s="49"/>
      <c r="E330" s="62"/>
      <c r="F330" s="62"/>
      <c r="G330" s="43"/>
      <c r="H330" s="49"/>
      <c r="I330" s="49"/>
      <c r="J330" s="62"/>
      <c r="K330" s="64"/>
      <c r="L330" s="76"/>
      <c r="M330" s="50"/>
      <c r="N330" s="50"/>
      <c r="O330" s="50"/>
      <c r="P330" s="50"/>
      <c r="Q330" s="50"/>
      <c r="R330" s="78"/>
      <c r="S330" s="79"/>
      <c r="T330" s="82"/>
      <c r="U330" s="93"/>
      <c r="V330" s="103"/>
      <c r="W330" s="100"/>
      <c r="X330" s="90"/>
      <c r="Y330" s="91"/>
      <c r="Z330" s="92"/>
      <c r="AA330" s="80"/>
      <c r="AB330" s="80"/>
      <c r="AC330" s="80"/>
    </row>
    <row r="331" spans="1:29" ht="39.950000000000003" customHeight="1" x14ac:dyDescent="0.25">
      <c r="A331" s="80"/>
      <c r="B331" s="87"/>
      <c r="C331" s="49"/>
      <c r="D331" s="49"/>
      <c r="E331" s="62"/>
      <c r="F331" s="62"/>
      <c r="G331" s="43"/>
      <c r="H331" s="49"/>
      <c r="I331" s="49"/>
      <c r="J331" s="62"/>
      <c r="K331" s="64"/>
      <c r="L331" s="76"/>
      <c r="M331" s="50"/>
      <c r="N331" s="50"/>
      <c r="O331" s="50"/>
      <c r="P331" s="50"/>
      <c r="Q331" s="50"/>
      <c r="R331" s="78"/>
      <c r="S331" s="79"/>
      <c r="T331" s="82"/>
      <c r="U331" s="93"/>
      <c r="V331" s="103"/>
      <c r="W331" s="100"/>
      <c r="X331" s="90"/>
      <c r="Y331" s="91"/>
      <c r="Z331" s="92"/>
      <c r="AA331" s="80"/>
      <c r="AB331" s="80"/>
      <c r="AC331" s="80"/>
    </row>
    <row r="332" spans="1:29" ht="39.950000000000003" customHeight="1" x14ac:dyDescent="0.25">
      <c r="A332" s="80"/>
      <c r="B332" s="87"/>
      <c r="C332" s="49"/>
      <c r="D332" s="49"/>
      <c r="E332" s="62"/>
      <c r="F332" s="62"/>
      <c r="G332" s="43"/>
      <c r="H332" s="49"/>
      <c r="I332" s="49"/>
      <c r="J332" s="62"/>
      <c r="K332" s="64"/>
      <c r="L332" s="76"/>
      <c r="M332" s="50"/>
      <c r="N332" s="50"/>
      <c r="O332" s="50"/>
      <c r="P332" s="50"/>
      <c r="Q332" s="50"/>
      <c r="R332" s="78"/>
      <c r="S332" s="79"/>
      <c r="T332" s="82"/>
      <c r="U332" s="93"/>
      <c r="V332" s="103"/>
      <c r="W332" s="100"/>
      <c r="X332" s="90"/>
      <c r="Y332" s="91"/>
      <c r="Z332" s="92"/>
      <c r="AA332" s="80"/>
      <c r="AB332" s="80"/>
      <c r="AC332" s="80"/>
    </row>
    <row r="333" spans="1:29" ht="39.950000000000003" customHeight="1" x14ac:dyDescent="0.25">
      <c r="A333" s="80"/>
      <c r="B333" s="87"/>
      <c r="C333" s="49"/>
      <c r="D333" s="49"/>
      <c r="E333" s="62"/>
      <c r="F333" s="62"/>
      <c r="G333" s="43"/>
      <c r="H333" s="49"/>
      <c r="I333" s="49"/>
      <c r="J333" s="62"/>
      <c r="K333" s="64"/>
      <c r="L333" s="76"/>
      <c r="M333" s="50"/>
      <c r="N333" s="50"/>
      <c r="O333" s="50"/>
      <c r="P333" s="50"/>
      <c r="Q333" s="50"/>
      <c r="R333" s="78"/>
      <c r="S333" s="79"/>
      <c r="T333" s="82"/>
      <c r="U333" s="93"/>
      <c r="V333" s="103"/>
      <c r="W333" s="100"/>
      <c r="X333" s="90"/>
      <c r="Y333" s="91"/>
      <c r="Z333" s="92"/>
      <c r="AA333" s="80"/>
      <c r="AB333" s="80"/>
      <c r="AC333" s="80"/>
    </row>
    <row r="334" spans="1:29" ht="39.950000000000003" customHeight="1" x14ac:dyDescent="0.25">
      <c r="A334" s="80"/>
      <c r="B334" s="87"/>
      <c r="C334" s="49"/>
      <c r="D334" s="49"/>
      <c r="E334" s="62"/>
      <c r="F334" s="62"/>
      <c r="G334" s="43"/>
      <c r="H334" s="49"/>
      <c r="I334" s="49"/>
      <c r="J334" s="62"/>
      <c r="K334" s="64"/>
      <c r="L334" s="76"/>
      <c r="M334" s="50"/>
      <c r="N334" s="50"/>
      <c r="O334" s="50"/>
      <c r="P334" s="50"/>
      <c r="Q334" s="50"/>
      <c r="R334" s="78"/>
      <c r="S334" s="79"/>
      <c r="T334" s="82"/>
      <c r="U334" s="93"/>
      <c r="V334" s="103"/>
      <c r="W334" s="100"/>
      <c r="X334" s="90"/>
      <c r="Y334" s="91"/>
      <c r="Z334" s="92"/>
      <c r="AA334" s="80"/>
      <c r="AB334" s="80"/>
      <c r="AC334" s="80"/>
    </row>
    <row r="335" spans="1:29" ht="39.950000000000003" customHeight="1" x14ac:dyDescent="0.25">
      <c r="A335" s="80"/>
      <c r="B335" s="87"/>
      <c r="C335" s="49"/>
      <c r="D335" s="49"/>
      <c r="E335" s="62"/>
      <c r="F335" s="62"/>
      <c r="G335" s="43"/>
      <c r="H335" s="49"/>
      <c r="I335" s="49"/>
      <c r="J335" s="62"/>
      <c r="K335" s="64"/>
      <c r="L335" s="76"/>
      <c r="M335" s="50"/>
      <c r="N335" s="50"/>
      <c r="O335" s="50"/>
      <c r="P335" s="50"/>
      <c r="Q335" s="50"/>
      <c r="R335" s="78"/>
      <c r="S335" s="79"/>
      <c r="T335" s="82"/>
      <c r="U335" s="93"/>
      <c r="V335" s="103"/>
      <c r="W335" s="100"/>
      <c r="X335" s="90"/>
      <c r="Y335" s="91"/>
      <c r="Z335" s="92"/>
      <c r="AA335" s="80"/>
      <c r="AB335" s="80"/>
      <c r="AC335" s="80"/>
    </row>
    <row r="336" spans="1:29" ht="39.950000000000003" customHeight="1" x14ac:dyDescent="0.25">
      <c r="A336" s="80"/>
      <c r="B336" s="87"/>
      <c r="C336" s="49"/>
      <c r="D336" s="49"/>
      <c r="E336" s="62"/>
      <c r="F336" s="62"/>
      <c r="G336" s="43"/>
      <c r="H336" s="49"/>
      <c r="I336" s="49"/>
      <c r="J336" s="62"/>
      <c r="K336" s="64"/>
      <c r="L336" s="76"/>
      <c r="M336" s="50"/>
      <c r="N336" s="50"/>
      <c r="O336" s="50"/>
      <c r="P336" s="50"/>
      <c r="Q336" s="50"/>
      <c r="R336" s="78"/>
      <c r="S336" s="79"/>
      <c r="T336" s="82"/>
      <c r="U336" s="93"/>
      <c r="V336" s="103"/>
      <c r="W336" s="100"/>
      <c r="X336" s="90"/>
      <c r="Y336" s="91"/>
      <c r="Z336" s="92"/>
      <c r="AA336" s="80"/>
      <c r="AB336" s="80"/>
      <c r="AC336" s="80"/>
    </row>
    <row r="337" spans="1:29" ht="39.950000000000003" customHeight="1" x14ac:dyDescent="0.25">
      <c r="A337" s="80"/>
      <c r="B337" s="87"/>
      <c r="C337" s="49"/>
      <c r="D337" s="49"/>
      <c r="E337" s="62"/>
      <c r="F337" s="62"/>
      <c r="G337" s="43"/>
      <c r="H337" s="49"/>
      <c r="I337" s="49"/>
      <c r="J337" s="62"/>
      <c r="K337" s="64"/>
      <c r="L337" s="76"/>
      <c r="M337" s="50"/>
      <c r="N337" s="50"/>
      <c r="O337" s="50"/>
      <c r="P337" s="50"/>
      <c r="Q337" s="50"/>
      <c r="R337" s="78"/>
      <c r="S337" s="79"/>
      <c r="T337" s="82"/>
      <c r="U337" s="93"/>
      <c r="V337" s="103"/>
      <c r="W337" s="100"/>
      <c r="X337" s="90"/>
      <c r="Y337" s="91"/>
      <c r="Z337" s="92"/>
      <c r="AA337" s="80"/>
      <c r="AB337" s="80"/>
      <c r="AC337" s="80"/>
    </row>
    <row r="338" spans="1:29" ht="39.950000000000003" customHeight="1" x14ac:dyDescent="0.25">
      <c r="A338" s="80"/>
      <c r="B338" s="87"/>
      <c r="C338" s="49"/>
      <c r="D338" s="49"/>
      <c r="E338" s="62"/>
      <c r="F338" s="62"/>
      <c r="G338" s="43"/>
      <c r="H338" s="49"/>
      <c r="I338" s="49"/>
      <c r="J338" s="62"/>
      <c r="K338" s="64"/>
      <c r="L338" s="76"/>
      <c r="M338" s="50"/>
      <c r="N338" s="50"/>
      <c r="O338" s="50"/>
      <c r="P338" s="50"/>
      <c r="Q338" s="50"/>
      <c r="R338" s="78"/>
      <c r="S338" s="79"/>
      <c r="T338" s="82"/>
      <c r="U338" s="93"/>
      <c r="V338" s="103"/>
      <c r="W338" s="100"/>
      <c r="X338" s="90"/>
      <c r="Y338" s="91"/>
      <c r="Z338" s="92"/>
      <c r="AA338" s="80"/>
      <c r="AB338" s="80"/>
      <c r="AC338" s="80"/>
    </row>
    <row r="339" spans="1:29" ht="39.950000000000003" customHeight="1" x14ac:dyDescent="0.25">
      <c r="A339" s="80"/>
      <c r="B339" s="87"/>
      <c r="C339" s="49"/>
      <c r="D339" s="49"/>
      <c r="E339" s="62"/>
      <c r="F339" s="62"/>
      <c r="G339" s="43"/>
      <c r="H339" s="49"/>
      <c r="I339" s="49"/>
      <c r="J339" s="62"/>
      <c r="K339" s="64"/>
      <c r="L339" s="76"/>
      <c r="M339" s="50"/>
      <c r="N339" s="50"/>
      <c r="O339" s="50"/>
      <c r="P339" s="50"/>
      <c r="Q339" s="50"/>
      <c r="R339" s="78"/>
      <c r="S339" s="79"/>
      <c r="T339" s="82"/>
      <c r="U339" s="93"/>
      <c r="V339" s="103"/>
      <c r="W339" s="100"/>
      <c r="X339" s="90"/>
      <c r="Y339" s="91"/>
      <c r="Z339" s="92"/>
      <c r="AA339" s="80"/>
      <c r="AB339" s="80"/>
      <c r="AC339" s="80"/>
    </row>
    <row r="340" spans="1:29" ht="39.950000000000003" customHeight="1" x14ac:dyDescent="0.25">
      <c r="A340" s="80"/>
      <c r="B340" s="87"/>
      <c r="C340" s="49"/>
      <c r="D340" s="49"/>
      <c r="E340" s="62"/>
      <c r="F340" s="62"/>
      <c r="G340" s="43"/>
      <c r="H340" s="49"/>
      <c r="I340" s="49"/>
      <c r="J340" s="62"/>
      <c r="K340" s="64"/>
      <c r="L340" s="76"/>
      <c r="M340" s="50"/>
      <c r="N340" s="50"/>
      <c r="O340" s="50"/>
      <c r="P340" s="50"/>
      <c r="Q340" s="50"/>
      <c r="R340" s="78"/>
      <c r="S340" s="79"/>
      <c r="T340" s="82"/>
      <c r="U340" s="93"/>
      <c r="V340" s="103"/>
      <c r="W340" s="100"/>
      <c r="X340" s="90"/>
      <c r="Y340" s="91"/>
      <c r="Z340" s="92"/>
      <c r="AA340" s="80"/>
      <c r="AB340" s="80"/>
      <c r="AC340" s="80"/>
    </row>
    <row r="341" spans="1:29" ht="39.950000000000003" customHeight="1" x14ac:dyDescent="0.25">
      <c r="A341" s="80"/>
      <c r="B341" s="87"/>
      <c r="C341" s="49"/>
      <c r="D341" s="49"/>
      <c r="E341" s="62"/>
      <c r="F341" s="62"/>
      <c r="G341" s="43"/>
      <c r="H341" s="49"/>
      <c r="I341" s="49"/>
      <c r="J341" s="62"/>
      <c r="K341" s="64"/>
      <c r="L341" s="76"/>
      <c r="M341" s="50"/>
      <c r="N341" s="50"/>
      <c r="O341" s="50"/>
      <c r="P341" s="50"/>
      <c r="Q341" s="50"/>
      <c r="R341" s="78"/>
      <c r="S341" s="79"/>
      <c r="T341" s="82"/>
      <c r="U341" s="93"/>
      <c r="V341" s="103"/>
      <c r="W341" s="100"/>
      <c r="X341" s="90"/>
      <c r="Y341" s="91"/>
      <c r="Z341" s="92"/>
      <c r="AA341" s="80"/>
      <c r="AB341" s="80"/>
      <c r="AC341" s="80"/>
    </row>
    <row r="342" spans="1:29" ht="39.950000000000003" customHeight="1" x14ac:dyDescent="0.25">
      <c r="A342" s="80"/>
      <c r="B342" s="87"/>
      <c r="C342" s="49"/>
      <c r="D342" s="49"/>
      <c r="E342" s="62"/>
      <c r="F342" s="62"/>
      <c r="G342" s="43"/>
      <c r="H342" s="49"/>
      <c r="I342" s="49"/>
      <c r="J342" s="62"/>
      <c r="K342" s="64"/>
      <c r="L342" s="76"/>
      <c r="M342" s="50"/>
      <c r="N342" s="50"/>
      <c r="O342" s="50"/>
      <c r="P342" s="50"/>
      <c r="Q342" s="50"/>
      <c r="R342" s="78"/>
      <c r="S342" s="79"/>
      <c r="T342" s="82"/>
      <c r="U342" s="93"/>
      <c r="V342" s="103"/>
      <c r="W342" s="100"/>
      <c r="X342" s="90"/>
      <c r="Y342" s="91"/>
      <c r="Z342" s="92"/>
      <c r="AA342" s="80"/>
      <c r="AB342" s="80"/>
      <c r="AC342" s="80"/>
    </row>
    <row r="343" spans="1:29" ht="39.950000000000003" customHeight="1" x14ac:dyDescent="0.25">
      <c r="A343" s="80"/>
      <c r="B343" s="87"/>
      <c r="C343" s="49"/>
      <c r="D343" s="49"/>
      <c r="E343" s="62"/>
      <c r="F343" s="62"/>
      <c r="G343" s="43"/>
      <c r="H343" s="49"/>
      <c r="I343" s="49"/>
      <c r="J343" s="62"/>
      <c r="K343" s="64"/>
      <c r="L343" s="76"/>
      <c r="M343" s="50"/>
      <c r="N343" s="50"/>
      <c r="O343" s="50"/>
      <c r="P343" s="50"/>
      <c r="Q343" s="50"/>
      <c r="R343" s="78"/>
      <c r="S343" s="79"/>
      <c r="T343" s="82"/>
      <c r="U343" s="93"/>
      <c r="V343" s="103"/>
      <c r="W343" s="100"/>
      <c r="X343" s="90"/>
      <c r="Y343" s="91"/>
      <c r="Z343" s="92"/>
      <c r="AA343" s="80"/>
      <c r="AB343" s="80"/>
      <c r="AC343" s="80"/>
    </row>
    <row r="344" spans="1:29" ht="39.950000000000003" customHeight="1" x14ac:dyDescent="0.25">
      <c r="A344" s="80"/>
      <c r="B344" s="87"/>
      <c r="C344" s="49"/>
      <c r="D344" s="49"/>
      <c r="E344" s="62"/>
      <c r="F344" s="62"/>
      <c r="G344" s="43"/>
      <c r="H344" s="49"/>
      <c r="I344" s="49"/>
      <c r="J344" s="62"/>
      <c r="K344" s="64"/>
      <c r="L344" s="76"/>
      <c r="M344" s="50"/>
      <c r="N344" s="50"/>
      <c r="O344" s="50"/>
      <c r="P344" s="50"/>
      <c r="Q344" s="50"/>
      <c r="R344" s="78"/>
      <c r="S344" s="79"/>
      <c r="T344" s="82"/>
      <c r="U344" s="93"/>
      <c r="V344" s="103"/>
      <c r="W344" s="100"/>
      <c r="X344" s="90"/>
      <c r="Y344" s="91"/>
      <c r="Z344" s="92"/>
      <c r="AA344" s="80"/>
      <c r="AB344" s="80"/>
      <c r="AC344" s="80"/>
    </row>
    <row r="345" spans="1:29" ht="39.950000000000003" customHeight="1" x14ac:dyDescent="0.25">
      <c r="A345" s="80"/>
      <c r="B345" s="87"/>
      <c r="C345" s="49"/>
      <c r="D345" s="49"/>
      <c r="E345" s="62"/>
      <c r="F345" s="62"/>
      <c r="G345" s="43"/>
      <c r="H345" s="49"/>
      <c r="I345" s="49"/>
      <c r="J345" s="62"/>
      <c r="K345" s="64"/>
      <c r="L345" s="76"/>
      <c r="M345" s="50"/>
      <c r="N345" s="50"/>
      <c r="O345" s="50"/>
      <c r="P345" s="50"/>
      <c r="Q345" s="50"/>
      <c r="R345" s="78"/>
      <c r="S345" s="79"/>
      <c r="T345" s="82"/>
      <c r="U345" s="93"/>
      <c r="V345" s="103"/>
      <c r="W345" s="100"/>
      <c r="X345" s="90"/>
      <c r="Y345" s="91"/>
      <c r="Z345" s="92"/>
      <c r="AA345" s="80"/>
      <c r="AB345" s="80"/>
      <c r="AC345" s="80"/>
    </row>
    <row r="346" spans="1:29" ht="39.950000000000003" customHeight="1" x14ac:dyDescent="0.25">
      <c r="A346" s="80"/>
      <c r="B346" s="87"/>
      <c r="C346" s="49"/>
      <c r="D346" s="49"/>
      <c r="E346" s="62"/>
      <c r="F346" s="62"/>
      <c r="G346" s="43"/>
      <c r="H346" s="49"/>
      <c r="I346" s="49"/>
      <c r="J346" s="62"/>
      <c r="K346" s="64"/>
      <c r="L346" s="76"/>
      <c r="M346" s="50"/>
      <c r="N346" s="50"/>
      <c r="O346" s="50"/>
      <c r="P346" s="50"/>
      <c r="Q346" s="50"/>
      <c r="R346" s="78"/>
      <c r="S346" s="79"/>
      <c r="T346" s="82"/>
      <c r="U346" s="93"/>
      <c r="V346" s="103"/>
      <c r="W346" s="100"/>
      <c r="X346" s="90"/>
      <c r="Y346" s="91"/>
      <c r="Z346" s="92"/>
      <c r="AA346" s="80"/>
      <c r="AB346" s="80"/>
      <c r="AC346" s="80"/>
    </row>
    <row r="347" spans="1:29" ht="39.950000000000003" customHeight="1" x14ac:dyDescent="0.25">
      <c r="A347" s="80"/>
      <c r="B347" s="87"/>
      <c r="C347" s="49"/>
      <c r="D347" s="49"/>
      <c r="E347" s="62"/>
      <c r="F347" s="62"/>
      <c r="G347" s="43"/>
      <c r="H347" s="49"/>
      <c r="I347" s="49"/>
      <c r="J347" s="62"/>
      <c r="K347" s="64"/>
      <c r="L347" s="76"/>
      <c r="M347" s="50"/>
      <c r="N347" s="50"/>
      <c r="O347" s="50"/>
      <c r="P347" s="50"/>
      <c r="Q347" s="50"/>
      <c r="R347" s="78"/>
      <c r="S347" s="79"/>
      <c r="T347" s="82"/>
      <c r="U347" s="93"/>
      <c r="V347" s="103"/>
      <c r="W347" s="100"/>
      <c r="X347" s="90"/>
      <c r="Y347" s="91"/>
      <c r="Z347" s="92"/>
      <c r="AA347" s="80"/>
      <c r="AB347" s="80"/>
      <c r="AC347" s="80"/>
    </row>
    <row r="348" spans="1:29" ht="39.950000000000003" customHeight="1" x14ac:dyDescent="0.25">
      <c r="A348" s="80"/>
      <c r="B348" s="87"/>
      <c r="C348" s="49"/>
      <c r="D348" s="49"/>
      <c r="E348" s="62"/>
      <c r="F348" s="62"/>
      <c r="G348" s="43"/>
      <c r="H348" s="49"/>
      <c r="I348" s="49"/>
      <c r="J348" s="62"/>
      <c r="K348" s="64"/>
      <c r="L348" s="76"/>
      <c r="M348" s="50"/>
      <c r="N348" s="50"/>
      <c r="O348" s="50"/>
      <c r="P348" s="50"/>
      <c r="Q348" s="50"/>
      <c r="R348" s="78"/>
      <c r="S348" s="79"/>
      <c r="T348" s="82"/>
      <c r="U348" s="93"/>
      <c r="V348" s="103"/>
      <c r="W348" s="100"/>
      <c r="X348" s="90"/>
      <c r="Y348" s="91"/>
      <c r="Z348" s="92"/>
      <c r="AA348" s="80"/>
      <c r="AB348" s="80"/>
      <c r="AC348" s="80"/>
    </row>
    <row r="349" spans="1:29" ht="39.950000000000003" customHeight="1" x14ac:dyDescent="0.25">
      <c r="A349" s="80"/>
      <c r="B349" s="87"/>
      <c r="C349" s="49"/>
      <c r="D349" s="49"/>
      <c r="E349" s="62"/>
      <c r="F349" s="62"/>
      <c r="G349" s="43"/>
      <c r="H349" s="49"/>
      <c r="I349" s="49"/>
      <c r="J349" s="62"/>
      <c r="K349" s="64"/>
      <c r="L349" s="76"/>
      <c r="M349" s="50"/>
      <c r="N349" s="50"/>
      <c r="O349" s="50"/>
      <c r="P349" s="50"/>
      <c r="Q349" s="50"/>
      <c r="R349" s="78"/>
      <c r="S349" s="79"/>
      <c r="T349" s="82"/>
      <c r="U349" s="93"/>
      <c r="V349" s="103"/>
      <c r="W349" s="100"/>
      <c r="X349" s="90"/>
      <c r="Y349" s="91"/>
      <c r="Z349" s="92"/>
      <c r="AA349" s="80"/>
      <c r="AB349" s="80"/>
      <c r="AC349" s="80"/>
    </row>
    <row r="350" spans="1:29" ht="39.950000000000003" customHeight="1" x14ac:dyDescent="0.25">
      <c r="A350" s="80"/>
      <c r="B350" s="87"/>
      <c r="C350" s="49"/>
      <c r="D350" s="49"/>
      <c r="E350" s="62"/>
      <c r="F350" s="62"/>
      <c r="G350" s="43"/>
      <c r="H350" s="49"/>
      <c r="I350" s="49"/>
      <c r="J350" s="62"/>
      <c r="K350" s="64"/>
      <c r="L350" s="76"/>
      <c r="M350" s="50"/>
      <c r="N350" s="50"/>
      <c r="O350" s="50"/>
      <c r="P350" s="50"/>
      <c r="Q350" s="50"/>
      <c r="R350" s="78"/>
      <c r="S350" s="79"/>
      <c r="T350" s="82"/>
      <c r="U350" s="93"/>
      <c r="V350" s="103"/>
      <c r="W350" s="100"/>
      <c r="X350" s="90"/>
      <c r="Y350" s="91"/>
      <c r="Z350" s="92"/>
      <c r="AA350" s="80"/>
      <c r="AB350" s="80"/>
      <c r="AC350" s="80"/>
    </row>
    <row r="351" spans="1:29" ht="39.950000000000003" customHeight="1" x14ac:dyDescent="0.25">
      <c r="A351" s="80"/>
      <c r="B351" s="88"/>
      <c r="C351" s="80"/>
      <c r="D351" s="80"/>
      <c r="E351" s="83"/>
      <c r="F351" s="83"/>
      <c r="G351" s="43"/>
      <c r="H351" s="80"/>
      <c r="I351" s="49"/>
      <c r="J351" s="83"/>
      <c r="K351" s="84"/>
      <c r="L351" s="80"/>
      <c r="M351" s="80"/>
      <c r="N351" s="80"/>
      <c r="O351" s="80"/>
      <c r="P351" s="80"/>
      <c r="Q351" s="80"/>
      <c r="R351" s="62"/>
      <c r="S351" s="73"/>
      <c r="T351" s="83"/>
      <c r="U351" s="93"/>
      <c r="V351" s="103"/>
      <c r="W351" s="100"/>
      <c r="X351" s="90"/>
      <c r="Y351" s="91"/>
      <c r="Z351" s="92"/>
      <c r="AA351" s="80"/>
      <c r="AB351" s="80"/>
      <c r="AC351" s="80"/>
    </row>
    <row r="352" spans="1:29" ht="39.950000000000003" customHeight="1" x14ac:dyDescent="0.25">
      <c r="A352" s="80"/>
      <c r="B352" s="88"/>
      <c r="C352" s="80"/>
      <c r="D352" s="80"/>
      <c r="E352" s="83"/>
      <c r="F352" s="83"/>
      <c r="G352" s="43"/>
      <c r="H352" s="80"/>
      <c r="I352" s="49"/>
      <c r="J352" s="83"/>
      <c r="K352" s="84"/>
      <c r="L352" s="80"/>
      <c r="M352" s="80"/>
      <c r="N352" s="80"/>
      <c r="O352" s="80"/>
      <c r="P352" s="80"/>
      <c r="Q352" s="80"/>
      <c r="R352" s="62"/>
      <c r="S352" s="73"/>
      <c r="T352" s="83"/>
      <c r="U352" s="93"/>
      <c r="V352" s="103"/>
      <c r="W352" s="100"/>
      <c r="X352" s="90"/>
      <c r="Y352" s="91"/>
      <c r="Z352" s="92"/>
      <c r="AA352" s="80"/>
      <c r="AB352" s="80"/>
      <c r="AC352" s="80"/>
    </row>
    <row r="353" spans="1:29" ht="39.950000000000003" customHeight="1" x14ac:dyDescent="0.25">
      <c r="A353" s="80"/>
      <c r="B353" s="88"/>
      <c r="C353" s="80"/>
      <c r="D353" s="80"/>
      <c r="E353" s="83"/>
      <c r="F353" s="83"/>
      <c r="G353" s="43"/>
      <c r="H353" s="80"/>
      <c r="I353" s="49"/>
      <c r="J353" s="83"/>
      <c r="K353" s="84"/>
      <c r="L353" s="80"/>
      <c r="M353" s="80"/>
      <c r="N353" s="80"/>
      <c r="O353" s="80"/>
      <c r="P353" s="80"/>
      <c r="Q353" s="80"/>
      <c r="R353" s="62"/>
      <c r="S353" s="73"/>
      <c r="T353" s="83"/>
      <c r="U353" s="93"/>
      <c r="V353" s="103"/>
      <c r="W353" s="100"/>
      <c r="X353" s="90"/>
      <c r="Y353" s="91"/>
      <c r="Z353" s="92"/>
      <c r="AA353" s="80"/>
      <c r="AB353" s="80"/>
      <c r="AC353" s="80"/>
    </row>
    <row r="354" spans="1:29" ht="39.950000000000003" customHeight="1" x14ac:dyDescent="0.25">
      <c r="A354" s="80"/>
      <c r="B354" s="88"/>
      <c r="C354" s="80"/>
      <c r="D354" s="80"/>
      <c r="E354" s="83"/>
      <c r="F354" s="83"/>
      <c r="G354" s="43"/>
      <c r="H354" s="80"/>
      <c r="I354" s="49"/>
      <c r="J354" s="83"/>
      <c r="K354" s="84"/>
      <c r="L354" s="80"/>
      <c r="M354" s="80"/>
      <c r="N354" s="80"/>
      <c r="O354" s="80"/>
      <c r="P354" s="80"/>
      <c r="Q354" s="80"/>
      <c r="R354" s="62"/>
      <c r="S354" s="73"/>
      <c r="T354" s="83"/>
      <c r="U354" s="93"/>
      <c r="V354" s="103"/>
      <c r="W354" s="100"/>
      <c r="X354" s="90"/>
      <c r="Y354" s="91"/>
      <c r="Z354" s="92"/>
      <c r="AA354" s="80"/>
      <c r="AB354" s="80"/>
      <c r="AC354" s="80"/>
    </row>
    <row r="355" spans="1:29" ht="39.950000000000003" customHeight="1" x14ac:dyDescent="0.25">
      <c r="A355" s="80"/>
      <c r="B355" s="88"/>
      <c r="C355" s="80"/>
      <c r="D355" s="80"/>
      <c r="E355" s="83"/>
      <c r="F355" s="83"/>
      <c r="G355" s="43"/>
      <c r="H355" s="80"/>
      <c r="I355" s="49"/>
      <c r="J355" s="83"/>
      <c r="K355" s="84"/>
      <c r="L355" s="80"/>
      <c r="M355" s="80"/>
      <c r="N355" s="80"/>
      <c r="O355" s="80"/>
      <c r="P355" s="80"/>
      <c r="Q355" s="80"/>
      <c r="R355" s="62"/>
      <c r="S355" s="73"/>
      <c r="T355" s="83"/>
      <c r="U355" s="93"/>
      <c r="V355" s="103"/>
      <c r="W355" s="100"/>
      <c r="X355" s="90"/>
      <c r="Y355" s="91"/>
      <c r="Z355" s="92"/>
      <c r="AA355" s="80"/>
      <c r="AB355" s="80"/>
      <c r="AC355" s="80"/>
    </row>
    <row r="356" spans="1:29" ht="39.950000000000003" customHeight="1" x14ac:dyDescent="0.25">
      <c r="A356" s="80"/>
      <c r="B356" s="88"/>
      <c r="C356" s="80"/>
      <c r="D356" s="80"/>
      <c r="E356" s="83"/>
      <c r="F356" s="83"/>
      <c r="G356" s="43"/>
      <c r="H356" s="80"/>
      <c r="I356" s="49"/>
      <c r="J356" s="83"/>
      <c r="K356" s="84"/>
      <c r="L356" s="80"/>
      <c r="M356" s="80"/>
      <c r="N356" s="80"/>
      <c r="O356" s="80"/>
      <c r="P356" s="80"/>
      <c r="Q356" s="80"/>
      <c r="R356" s="62"/>
      <c r="S356" s="73"/>
      <c r="T356" s="83"/>
      <c r="U356" s="93"/>
      <c r="V356" s="103"/>
      <c r="W356" s="100"/>
      <c r="X356" s="90"/>
      <c r="Y356" s="91"/>
      <c r="Z356" s="92"/>
      <c r="AA356" s="80"/>
      <c r="AB356" s="80"/>
      <c r="AC356" s="80"/>
    </row>
    <row r="357" spans="1:29" ht="39.950000000000003" customHeight="1" x14ac:dyDescent="0.25">
      <c r="A357" s="80"/>
      <c r="B357" s="88"/>
      <c r="C357" s="80"/>
      <c r="D357" s="80"/>
      <c r="E357" s="83"/>
      <c r="F357" s="83"/>
      <c r="G357" s="43"/>
      <c r="H357" s="80"/>
      <c r="I357" s="49"/>
      <c r="J357" s="83"/>
      <c r="K357" s="84"/>
      <c r="L357" s="80"/>
      <c r="M357" s="80"/>
      <c r="N357" s="80"/>
      <c r="O357" s="80"/>
      <c r="P357" s="80"/>
      <c r="Q357" s="80"/>
      <c r="R357" s="62"/>
      <c r="S357" s="73"/>
      <c r="T357" s="83"/>
      <c r="U357" s="93"/>
      <c r="V357" s="103"/>
      <c r="W357" s="100"/>
      <c r="X357" s="90"/>
      <c r="Y357" s="91"/>
      <c r="Z357" s="92"/>
      <c r="AA357" s="80"/>
      <c r="AB357" s="80"/>
      <c r="AC357" s="80"/>
    </row>
    <row r="358" spans="1:29" ht="39.950000000000003" customHeight="1" x14ac:dyDescent="0.25">
      <c r="A358" s="80"/>
      <c r="B358" s="88"/>
      <c r="C358" s="80"/>
      <c r="D358" s="80"/>
      <c r="E358" s="83"/>
      <c r="F358" s="83"/>
      <c r="G358" s="43"/>
      <c r="H358" s="80"/>
      <c r="I358" s="49"/>
      <c r="J358" s="83"/>
      <c r="K358" s="84"/>
      <c r="L358" s="80"/>
      <c r="M358" s="80"/>
      <c r="N358" s="80"/>
      <c r="O358" s="80"/>
      <c r="P358" s="80"/>
      <c r="Q358" s="80"/>
      <c r="R358" s="62"/>
      <c r="S358" s="73"/>
      <c r="T358" s="83"/>
      <c r="U358" s="93"/>
      <c r="V358" s="103"/>
      <c r="W358" s="100"/>
      <c r="X358" s="90"/>
      <c r="Y358" s="91"/>
      <c r="Z358" s="92"/>
      <c r="AA358" s="80"/>
      <c r="AB358" s="80"/>
      <c r="AC358" s="80"/>
    </row>
    <row r="359" spans="1:29" ht="39.950000000000003" customHeight="1" x14ac:dyDescent="0.25">
      <c r="A359" s="80"/>
      <c r="B359" s="88"/>
      <c r="C359" s="80"/>
      <c r="D359" s="80"/>
      <c r="E359" s="83"/>
      <c r="F359" s="83"/>
      <c r="G359" s="43"/>
      <c r="H359" s="80"/>
      <c r="I359" s="49"/>
      <c r="J359" s="83"/>
      <c r="K359" s="84"/>
      <c r="L359" s="80"/>
      <c r="M359" s="80"/>
      <c r="N359" s="80"/>
      <c r="O359" s="80"/>
      <c r="P359" s="80"/>
      <c r="Q359" s="80"/>
      <c r="R359" s="62"/>
      <c r="S359" s="73"/>
      <c r="T359" s="83"/>
      <c r="U359" s="93"/>
      <c r="V359" s="103"/>
      <c r="W359" s="100"/>
      <c r="X359" s="90"/>
      <c r="Y359" s="91"/>
      <c r="Z359" s="92"/>
      <c r="AA359" s="80"/>
      <c r="AB359" s="80"/>
      <c r="AC359" s="80"/>
    </row>
    <row r="360" spans="1:29" ht="39.950000000000003" customHeight="1" x14ac:dyDescent="0.25">
      <c r="A360" s="80"/>
      <c r="B360" s="88"/>
      <c r="C360" s="80"/>
      <c r="D360" s="80"/>
      <c r="E360" s="83"/>
      <c r="F360" s="83"/>
      <c r="G360" s="43"/>
      <c r="H360" s="80"/>
      <c r="I360" s="49"/>
      <c r="J360" s="83"/>
      <c r="K360" s="84"/>
      <c r="L360" s="80"/>
      <c r="M360" s="80"/>
      <c r="N360" s="80"/>
      <c r="O360" s="80"/>
      <c r="P360" s="80"/>
      <c r="Q360" s="80"/>
      <c r="R360" s="62"/>
      <c r="S360" s="73"/>
      <c r="T360" s="83"/>
      <c r="U360" s="93"/>
      <c r="V360" s="103"/>
      <c r="W360" s="100"/>
      <c r="X360" s="90"/>
      <c r="Y360" s="91"/>
      <c r="Z360" s="92"/>
      <c r="AA360" s="80"/>
      <c r="AB360" s="80"/>
      <c r="AC360" s="80"/>
    </row>
    <row r="361" spans="1:29" ht="39.950000000000003" customHeight="1" x14ac:dyDescent="0.25">
      <c r="A361" s="80"/>
      <c r="B361" s="88"/>
      <c r="C361" s="80"/>
      <c r="D361" s="80"/>
      <c r="E361" s="83"/>
      <c r="F361" s="83"/>
      <c r="G361" s="43"/>
      <c r="H361" s="80"/>
      <c r="I361" s="49"/>
      <c r="J361" s="83"/>
      <c r="K361" s="84"/>
      <c r="L361" s="80"/>
      <c r="M361" s="80"/>
      <c r="N361" s="80"/>
      <c r="O361" s="80"/>
      <c r="P361" s="80"/>
      <c r="Q361" s="80"/>
      <c r="R361" s="62"/>
      <c r="S361" s="73"/>
      <c r="T361" s="83"/>
      <c r="U361" s="93"/>
      <c r="V361" s="103"/>
      <c r="W361" s="100"/>
      <c r="X361" s="90"/>
      <c r="Y361" s="91"/>
      <c r="Z361" s="92"/>
      <c r="AA361" s="80"/>
      <c r="AB361" s="80"/>
      <c r="AC361" s="80"/>
    </row>
    <row r="362" spans="1:29" ht="39.950000000000003" customHeight="1" x14ac:dyDescent="0.25">
      <c r="A362" s="80"/>
      <c r="B362" s="88"/>
      <c r="C362" s="80"/>
      <c r="D362" s="80"/>
      <c r="E362" s="83"/>
      <c r="F362" s="83"/>
      <c r="G362" s="43"/>
      <c r="H362" s="80"/>
      <c r="I362" s="49"/>
      <c r="J362" s="83"/>
      <c r="K362" s="84"/>
      <c r="L362" s="80"/>
      <c r="M362" s="80"/>
      <c r="N362" s="80"/>
      <c r="O362" s="80"/>
      <c r="P362" s="80"/>
      <c r="Q362" s="80"/>
      <c r="R362" s="62"/>
      <c r="S362" s="73"/>
      <c r="T362" s="83"/>
      <c r="U362" s="93"/>
      <c r="V362" s="103"/>
      <c r="W362" s="100"/>
      <c r="X362" s="90"/>
      <c r="Y362" s="91"/>
      <c r="Z362" s="92"/>
      <c r="AA362" s="80"/>
      <c r="AB362" s="80"/>
      <c r="AC362" s="80"/>
    </row>
    <row r="363" spans="1:29" ht="39.950000000000003" customHeight="1" x14ac:dyDescent="0.25">
      <c r="A363" s="80"/>
      <c r="B363" s="88"/>
      <c r="C363" s="80"/>
      <c r="D363" s="80"/>
      <c r="E363" s="83"/>
      <c r="F363" s="83"/>
      <c r="G363" s="43"/>
      <c r="H363" s="80"/>
      <c r="I363" s="49"/>
      <c r="J363" s="83"/>
      <c r="K363" s="84"/>
      <c r="L363" s="80"/>
      <c r="M363" s="80"/>
      <c r="N363" s="80"/>
      <c r="O363" s="80"/>
      <c r="P363" s="80"/>
      <c r="Q363" s="80"/>
      <c r="R363" s="62"/>
      <c r="S363" s="73"/>
      <c r="T363" s="83"/>
      <c r="U363" s="93"/>
      <c r="V363" s="103"/>
      <c r="W363" s="100"/>
      <c r="X363" s="90"/>
      <c r="Y363" s="91"/>
      <c r="Z363" s="92"/>
      <c r="AA363" s="80"/>
      <c r="AB363" s="80"/>
      <c r="AC363" s="80"/>
    </row>
    <row r="364" spans="1:29" ht="39.950000000000003" customHeight="1" x14ac:dyDescent="0.25">
      <c r="A364" s="80"/>
      <c r="B364" s="88"/>
      <c r="C364" s="80"/>
      <c r="D364" s="80"/>
      <c r="E364" s="83"/>
      <c r="F364" s="83"/>
      <c r="G364" s="43"/>
      <c r="H364" s="80"/>
      <c r="I364" s="49"/>
      <c r="J364" s="83"/>
      <c r="K364" s="84"/>
      <c r="L364" s="80"/>
      <c r="M364" s="80"/>
      <c r="N364" s="80"/>
      <c r="O364" s="80"/>
      <c r="P364" s="80"/>
      <c r="Q364" s="80"/>
      <c r="R364" s="62"/>
      <c r="S364" s="73"/>
      <c r="T364" s="83"/>
      <c r="U364" s="93"/>
      <c r="V364" s="103"/>
      <c r="W364" s="100"/>
      <c r="X364" s="90"/>
      <c r="Y364" s="91"/>
      <c r="Z364" s="92"/>
      <c r="AA364" s="80"/>
      <c r="AB364" s="80"/>
      <c r="AC364" s="80"/>
    </row>
    <row r="365" spans="1:29" ht="39.950000000000003" customHeight="1" x14ac:dyDescent="0.25">
      <c r="A365" s="80"/>
      <c r="B365" s="88"/>
      <c r="C365" s="80"/>
      <c r="D365" s="80"/>
      <c r="E365" s="83"/>
      <c r="F365" s="83"/>
      <c r="G365" s="43"/>
      <c r="H365" s="80"/>
      <c r="I365" s="49"/>
      <c r="J365" s="83"/>
      <c r="K365" s="84"/>
      <c r="L365" s="80"/>
      <c r="M365" s="80"/>
      <c r="N365" s="80"/>
      <c r="O365" s="80"/>
      <c r="P365" s="80"/>
      <c r="Q365" s="80"/>
      <c r="R365" s="62"/>
      <c r="S365" s="73"/>
      <c r="T365" s="83"/>
      <c r="U365" s="93"/>
      <c r="V365" s="103"/>
      <c r="W365" s="100"/>
      <c r="X365" s="90"/>
      <c r="Y365" s="91"/>
      <c r="Z365" s="92"/>
      <c r="AA365" s="80"/>
      <c r="AB365" s="80"/>
      <c r="AC365" s="80"/>
    </row>
    <row r="366" spans="1:29" ht="39.950000000000003" customHeight="1" x14ac:dyDescent="0.25">
      <c r="A366" s="80"/>
      <c r="B366" s="88"/>
      <c r="C366" s="80"/>
      <c r="D366" s="80"/>
      <c r="E366" s="83"/>
      <c r="F366" s="83"/>
      <c r="G366" s="43"/>
      <c r="H366" s="80"/>
      <c r="I366" s="49"/>
      <c r="J366" s="83"/>
      <c r="K366" s="84"/>
      <c r="L366" s="80"/>
      <c r="M366" s="80"/>
      <c r="N366" s="80"/>
      <c r="O366" s="80"/>
      <c r="P366" s="80"/>
      <c r="Q366" s="80"/>
      <c r="R366" s="62"/>
      <c r="S366" s="73"/>
      <c r="T366" s="83"/>
      <c r="U366" s="93"/>
      <c r="V366" s="103"/>
      <c r="W366" s="100"/>
      <c r="X366" s="90"/>
      <c r="Y366" s="91"/>
      <c r="Z366" s="92"/>
      <c r="AA366" s="80"/>
      <c r="AB366" s="80"/>
      <c r="AC366" s="80"/>
    </row>
    <row r="367" spans="1:29" ht="39.950000000000003" customHeight="1" x14ac:dyDescent="0.25">
      <c r="A367" s="80"/>
      <c r="B367" s="88"/>
      <c r="C367" s="80"/>
      <c r="D367" s="80"/>
      <c r="E367" s="83"/>
      <c r="F367" s="83"/>
      <c r="G367" s="43"/>
      <c r="H367" s="80"/>
      <c r="I367" s="49"/>
      <c r="J367" s="83"/>
      <c r="K367" s="84"/>
      <c r="L367" s="80"/>
      <c r="M367" s="80"/>
      <c r="N367" s="80"/>
      <c r="O367" s="80"/>
      <c r="P367" s="80"/>
      <c r="Q367" s="80"/>
      <c r="R367" s="62"/>
      <c r="S367" s="73"/>
      <c r="T367" s="83"/>
      <c r="U367" s="93"/>
      <c r="V367" s="103"/>
      <c r="W367" s="100"/>
      <c r="X367" s="90"/>
      <c r="Y367" s="91"/>
      <c r="Z367" s="92"/>
      <c r="AA367" s="80"/>
      <c r="AB367" s="80"/>
      <c r="AC367" s="80"/>
    </row>
    <row r="368" spans="1:29" ht="39.950000000000003" customHeight="1" x14ac:dyDescent="0.25">
      <c r="A368" s="80"/>
      <c r="B368" s="88"/>
      <c r="C368" s="80"/>
      <c r="D368" s="80"/>
      <c r="E368" s="83"/>
      <c r="F368" s="83"/>
      <c r="G368" s="43"/>
      <c r="H368" s="80"/>
      <c r="I368" s="49"/>
      <c r="J368" s="83"/>
      <c r="K368" s="84"/>
      <c r="L368" s="80"/>
      <c r="M368" s="80"/>
      <c r="N368" s="80"/>
      <c r="O368" s="80"/>
      <c r="P368" s="80"/>
      <c r="Q368" s="80"/>
      <c r="R368" s="62"/>
      <c r="S368" s="73"/>
      <c r="T368" s="83"/>
      <c r="U368" s="93"/>
      <c r="V368" s="103"/>
      <c r="W368" s="100"/>
      <c r="X368" s="90"/>
      <c r="Y368" s="91"/>
      <c r="Z368" s="92"/>
      <c r="AA368" s="80"/>
      <c r="AB368" s="80"/>
      <c r="AC368" s="80"/>
    </row>
    <row r="369" spans="1:29" ht="39.950000000000003" customHeight="1" x14ac:dyDescent="0.25">
      <c r="A369" s="80"/>
      <c r="B369" s="88"/>
      <c r="C369" s="80"/>
      <c r="D369" s="80"/>
      <c r="E369" s="83"/>
      <c r="F369" s="83"/>
      <c r="G369" s="43"/>
      <c r="H369" s="80"/>
      <c r="I369" s="49"/>
      <c r="J369" s="83"/>
      <c r="K369" s="84"/>
      <c r="L369" s="80"/>
      <c r="M369" s="80"/>
      <c r="N369" s="80"/>
      <c r="O369" s="80"/>
      <c r="P369" s="80"/>
      <c r="Q369" s="80"/>
      <c r="R369" s="62"/>
      <c r="S369" s="73"/>
      <c r="T369" s="83"/>
      <c r="U369" s="93"/>
      <c r="V369" s="103"/>
      <c r="W369" s="100"/>
      <c r="X369" s="90"/>
      <c r="Y369" s="91"/>
      <c r="Z369" s="92"/>
      <c r="AA369" s="80"/>
      <c r="AB369" s="80"/>
      <c r="AC369" s="80"/>
    </row>
    <row r="370" spans="1:29" ht="39.950000000000003" customHeight="1" x14ac:dyDescent="0.25">
      <c r="A370" s="80"/>
      <c r="B370" s="88"/>
      <c r="C370" s="80"/>
      <c r="D370" s="80"/>
      <c r="E370" s="83"/>
      <c r="F370" s="83"/>
      <c r="G370" s="43"/>
      <c r="H370" s="80"/>
      <c r="I370" s="49"/>
      <c r="J370" s="83"/>
      <c r="K370" s="84"/>
      <c r="L370" s="80"/>
      <c r="M370" s="80"/>
      <c r="N370" s="80"/>
      <c r="O370" s="80"/>
      <c r="P370" s="80"/>
      <c r="Q370" s="80"/>
      <c r="R370" s="62"/>
      <c r="S370" s="73"/>
      <c r="T370" s="83"/>
      <c r="U370" s="93"/>
      <c r="V370" s="103"/>
      <c r="W370" s="100"/>
      <c r="X370" s="90"/>
      <c r="Y370" s="91"/>
      <c r="Z370" s="92"/>
      <c r="AA370" s="80"/>
      <c r="AB370" s="80"/>
      <c r="AC370" s="80"/>
    </row>
    <row r="371" spans="1:29" ht="39.950000000000003" customHeight="1" x14ac:dyDescent="0.25">
      <c r="A371" s="80"/>
      <c r="B371" s="88"/>
      <c r="C371" s="80"/>
      <c r="D371" s="80"/>
      <c r="E371" s="83"/>
      <c r="F371" s="83"/>
      <c r="G371" s="43"/>
      <c r="H371" s="80"/>
      <c r="I371" s="49"/>
      <c r="J371" s="83"/>
      <c r="K371" s="84"/>
      <c r="L371" s="80"/>
      <c r="M371" s="80"/>
      <c r="N371" s="80"/>
      <c r="O371" s="80"/>
      <c r="P371" s="80"/>
      <c r="Q371" s="80"/>
      <c r="R371" s="62"/>
      <c r="S371" s="73"/>
      <c r="T371" s="83"/>
      <c r="U371" s="93"/>
      <c r="V371" s="103"/>
      <c r="W371" s="100"/>
      <c r="X371" s="90"/>
      <c r="Y371" s="91"/>
      <c r="Z371" s="92"/>
      <c r="AA371" s="80"/>
      <c r="AB371" s="80"/>
      <c r="AC371" s="80"/>
    </row>
    <row r="372" spans="1:29" ht="39.950000000000003" customHeight="1" x14ac:dyDescent="0.25">
      <c r="A372" s="80"/>
      <c r="B372" s="88"/>
      <c r="C372" s="80"/>
      <c r="D372" s="80"/>
      <c r="E372" s="83"/>
      <c r="F372" s="83"/>
      <c r="G372" s="43"/>
      <c r="H372" s="80"/>
      <c r="I372" s="49"/>
      <c r="J372" s="83"/>
      <c r="K372" s="84"/>
      <c r="L372" s="80"/>
      <c r="M372" s="80"/>
      <c r="N372" s="80"/>
      <c r="O372" s="80"/>
      <c r="P372" s="80"/>
      <c r="Q372" s="80"/>
      <c r="R372" s="62"/>
      <c r="S372" s="73"/>
      <c r="T372" s="83"/>
      <c r="U372" s="93"/>
      <c r="V372" s="103"/>
      <c r="W372" s="100"/>
      <c r="X372" s="90"/>
      <c r="Y372" s="91"/>
      <c r="Z372" s="92"/>
      <c r="AA372" s="80"/>
      <c r="AB372" s="80"/>
      <c r="AC372" s="80"/>
    </row>
    <row r="373" spans="1:29" ht="39.950000000000003" customHeight="1" x14ac:dyDescent="0.25">
      <c r="A373" s="80"/>
      <c r="B373" s="88"/>
      <c r="C373" s="80"/>
      <c r="D373" s="80"/>
      <c r="E373" s="83"/>
      <c r="F373" s="83"/>
      <c r="G373" s="43"/>
      <c r="H373" s="80"/>
      <c r="I373" s="49"/>
      <c r="J373" s="83"/>
      <c r="K373" s="84"/>
      <c r="L373" s="80"/>
      <c r="M373" s="80"/>
      <c r="N373" s="80"/>
      <c r="O373" s="80"/>
      <c r="P373" s="80"/>
      <c r="Q373" s="80"/>
      <c r="R373" s="62"/>
      <c r="S373" s="73"/>
      <c r="T373" s="83"/>
      <c r="U373" s="93"/>
      <c r="V373" s="103"/>
      <c r="W373" s="100"/>
      <c r="X373" s="90"/>
      <c r="Y373" s="91"/>
      <c r="Z373" s="92"/>
      <c r="AA373" s="80"/>
      <c r="AB373" s="80"/>
      <c r="AC373" s="80"/>
    </row>
    <row r="374" spans="1:29" ht="39.950000000000003" customHeight="1" x14ac:dyDescent="0.25">
      <c r="A374" s="80"/>
      <c r="B374" s="88"/>
      <c r="C374" s="80"/>
      <c r="D374" s="80"/>
      <c r="E374" s="83"/>
      <c r="F374" s="83"/>
      <c r="G374" s="43"/>
      <c r="H374" s="80"/>
      <c r="I374" s="49"/>
      <c r="J374" s="83"/>
      <c r="K374" s="84"/>
      <c r="L374" s="80"/>
      <c r="M374" s="80"/>
      <c r="N374" s="80"/>
      <c r="O374" s="80"/>
      <c r="P374" s="80"/>
      <c r="Q374" s="80"/>
      <c r="R374" s="62"/>
      <c r="S374" s="73"/>
      <c r="T374" s="83"/>
      <c r="U374" s="93"/>
      <c r="V374" s="103"/>
      <c r="W374" s="100"/>
      <c r="X374" s="90"/>
      <c r="Y374" s="91"/>
      <c r="Z374" s="92"/>
      <c r="AA374" s="80"/>
      <c r="AB374" s="80"/>
      <c r="AC374" s="80"/>
    </row>
    <row r="375" spans="1:29" ht="39.950000000000003" customHeight="1" x14ac:dyDescent="0.25">
      <c r="A375" s="80"/>
      <c r="B375" s="88"/>
      <c r="C375" s="80"/>
      <c r="D375" s="80"/>
      <c r="E375" s="83"/>
      <c r="F375" s="83"/>
      <c r="G375" s="43"/>
      <c r="H375" s="80"/>
      <c r="I375" s="49"/>
      <c r="J375" s="83"/>
      <c r="K375" s="84"/>
      <c r="L375" s="80"/>
      <c r="M375" s="80"/>
      <c r="N375" s="80"/>
      <c r="O375" s="80"/>
      <c r="P375" s="80"/>
      <c r="Q375" s="80"/>
      <c r="R375" s="62"/>
      <c r="S375" s="73"/>
      <c r="T375" s="83"/>
      <c r="U375" s="93"/>
      <c r="V375" s="103"/>
      <c r="W375" s="100"/>
      <c r="X375" s="90"/>
      <c r="Y375" s="91"/>
      <c r="Z375" s="92"/>
      <c r="AA375" s="80"/>
      <c r="AB375" s="80"/>
      <c r="AC375" s="80"/>
    </row>
    <row r="376" spans="1:29" ht="39.950000000000003" customHeight="1" x14ac:dyDescent="0.25">
      <c r="A376" s="80"/>
      <c r="B376" s="88"/>
      <c r="C376" s="80"/>
      <c r="D376" s="80"/>
      <c r="E376" s="83"/>
      <c r="F376" s="83"/>
      <c r="G376" s="43"/>
      <c r="H376" s="80"/>
      <c r="I376" s="49"/>
      <c r="J376" s="83"/>
      <c r="K376" s="84"/>
      <c r="L376" s="80"/>
      <c r="M376" s="80"/>
      <c r="N376" s="80"/>
      <c r="O376" s="80"/>
      <c r="P376" s="80"/>
      <c r="Q376" s="80"/>
      <c r="R376" s="62"/>
      <c r="S376" s="73"/>
      <c r="T376" s="83"/>
      <c r="U376" s="93"/>
      <c r="V376" s="103"/>
      <c r="W376" s="100"/>
      <c r="X376" s="90"/>
      <c r="Y376" s="91"/>
      <c r="Z376" s="92"/>
      <c r="AA376" s="80"/>
      <c r="AB376" s="80"/>
      <c r="AC376" s="80"/>
    </row>
    <row r="377" spans="1:29" ht="39.950000000000003" customHeight="1" x14ac:dyDescent="0.25">
      <c r="A377" s="80"/>
      <c r="B377" s="88"/>
      <c r="C377" s="80"/>
      <c r="D377" s="80"/>
      <c r="E377" s="83"/>
      <c r="F377" s="83"/>
      <c r="G377" s="43"/>
      <c r="H377" s="80"/>
      <c r="I377" s="49"/>
      <c r="J377" s="83"/>
      <c r="K377" s="84"/>
      <c r="L377" s="80"/>
      <c r="M377" s="80"/>
      <c r="N377" s="80"/>
      <c r="O377" s="80"/>
      <c r="P377" s="80"/>
      <c r="Q377" s="80"/>
      <c r="R377" s="62"/>
      <c r="S377" s="73"/>
      <c r="T377" s="83"/>
      <c r="U377" s="93"/>
      <c r="V377" s="103"/>
      <c r="W377" s="100"/>
      <c r="X377" s="90"/>
      <c r="Y377" s="91"/>
      <c r="Z377" s="92"/>
      <c r="AA377" s="80"/>
      <c r="AB377" s="80"/>
      <c r="AC377" s="80"/>
    </row>
    <row r="378" spans="1:29" ht="39.950000000000003" customHeight="1" x14ac:dyDescent="0.25">
      <c r="A378" s="80"/>
      <c r="B378" s="88"/>
      <c r="C378" s="80"/>
      <c r="D378" s="80"/>
      <c r="E378" s="83"/>
      <c r="F378" s="83"/>
      <c r="G378" s="43"/>
      <c r="H378" s="80"/>
      <c r="I378" s="49"/>
      <c r="J378" s="83"/>
      <c r="K378" s="84"/>
      <c r="L378" s="80"/>
      <c r="M378" s="80"/>
      <c r="N378" s="80"/>
      <c r="O378" s="80"/>
      <c r="P378" s="80"/>
      <c r="Q378" s="80"/>
      <c r="R378" s="62"/>
      <c r="S378" s="73"/>
      <c r="T378" s="83"/>
      <c r="U378" s="93"/>
      <c r="V378" s="103"/>
      <c r="W378" s="100"/>
      <c r="X378" s="90"/>
      <c r="Y378" s="91"/>
      <c r="Z378" s="92"/>
      <c r="AA378" s="80"/>
      <c r="AB378" s="80"/>
      <c r="AC378" s="80"/>
    </row>
    <row r="379" spans="1:29" ht="39.950000000000003" customHeight="1" x14ac:dyDescent="0.25">
      <c r="A379" s="80"/>
      <c r="B379" s="88"/>
      <c r="C379" s="80"/>
      <c r="D379" s="80"/>
      <c r="E379" s="83"/>
      <c r="F379" s="83"/>
      <c r="G379" s="43"/>
      <c r="H379" s="80"/>
      <c r="I379" s="49"/>
      <c r="J379" s="83"/>
      <c r="K379" s="84"/>
      <c r="L379" s="80"/>
      <c r="M379" s="80"/>
      <c r="N379" s="80"/>
      <c r="O379" s="80"/>
      <c r="P379" s="80"/>
      <c r="Q379" s="80"/>
      <c r="R379" s="62"/>
      <c r="S379" s="73"/>
      <c r="T379" s="83"/>
      <c r="U379" s="93"/>
      <c r="V379" s="103"/>
      <c r="W379" s="100"/>
      <c r="X379" s="90"/>
      <c r="Y379" s="91"/>
      <c r="Z379" s="92"/>
      <c r="AA379" s="80"/>
      <c r="AB379" s="80"/>
      <c r="AC379" s="80"/>
    </row>
    <row r="380" spans="1:29" ht="39.950000000000003" customHeight="1" x14ac:dyDescent="0.25">
      <c r="A380" s="80"/>
      <c r="B380" s="88"/>
      <c r="C380" s="80"/>
      <c r="D380" s="80"/>
      <c r="E380" s="83"/>
      <c r="F380" s="83"/>
      <c r="G380" s="43"/>
      <c r="H380" s="80"/>
      <c r="I380" s="49"/>
      <c r="J380" s="83"/>
      <c r="K380" s="84"/>
      <c r="L380" s="80"/>
      <c r="M380" s="80"/>
      <c r="N380" s="80"/>
      <c r="O380" s="80"/>
      <c r="P380" s="80"/>
      <c r="Q380" s="80"/>
      <c r="R380" s="62"/>
      <c r="S380" s="73"/>
      <c r="T380" s="83"/>
      <c r="U380" s="93"/>
      <c r="V380" s="103"/>
      <c r="W380" s="100"/>
      <c r="X380" s="90"/>
      <c r="Y380" s="91"/>
      <c r="Z380" s="92"/>
      <c r="AA380" s="80"/>
      <c r="AB380" s="80"/>
      <c r="AC380" s="80"/>
    </row>
    <row r="381" spans="1:29" ht="39.950000000000003" customHeight="1" x14ac:dyDescent="0.25">
      <c r="A381" s="80"/>
      <c r="B381" s="88"/>
      <c r="C381" s="80"/>
      <c r="D381" s="80"/>
      <c r="E381" s="83"/>
      <c r="F381" s="83"/>
      <c r="G381" s="43"/>
      <c r="H381" s="80"/>
      <c r="I381" s="49"/>
      <c r="J381" s="83"/>
      <c r="K381" s="84"/>
      <c r="L381" s="80"/>
      <c r="M381" s="80"/>
      <c r="N381" s="80"/>
      <c r="O381" s="80"/>
      <c r="P381" s="80"/>
      <c r="Q381" s="80"/>
      <c r="R381" s="62"/>
      <c r="S381" s="73"/>
      <c r="T381" s="83"/>
      <c r="U381" s="93"/>
      <c r="V381" s="103"/>
      <c r="W381" s="100"/>
      <c r="X381" s="90"/>
      <c r="Y381" s="91"/>
      <c r="Z381" s="92"/>
      <c r="AA381" s="80"/>
      <c r="AB381" s="80"/>
      <c r="AC381" s="80"/>
    </row>
    <row r="382" spans="1:29" ht="39.950000000000003" customHeight="1" x14ac:dyDescent="0.25">
      <c r="A382" s="80"/>
      <c r="B382" s="88"/>
      <c r="C382" s="80"/>
      <c r="D382" s="80"/>
      <c r="E382" s="83"/>
      <c r="F382" s="83"/>
      <c r="G382" s="43"/>
      <c r="H382" s="80"/>
      <c r="I382" s="49"/>
      <c r="J382" s="83"/>
      <c r="K382" s="84"/>
      <c r="L382" s="80"/>
      <c r="M382" s="80"/>
      <c r="N382" s="80"/>
      <c r="O382" s="80"/>
      <c r="P382" s="80"/>
      <c r="Q382" s="80"/>
      <c r="R382" s="62"/>
      <c r="S382" s="73"/>
      <c r="T382" s="83"/>
      <c r="U382" s="93"/>
      <c r="V382" s="103"/>
      <c r="W382" s="100"/>
      <c r="X382" s="90"/>
      <c r="Y382" s="91"/>
      <c r="Z382" s="92"/>
      <c r="AA382" s="80"/>
      <c r="AB382" s="80"/>
      <c r="AC382" s="80"/>
    </row>
    <row r="383" spans="1:29" ht="39.950000000000003" customHeight="1" x14ac:dyDescent="0.25">
      <c r="A383" s="80"/>
      <c r="B383" s="88"/>
      <c r="C383" s="80"/>
      <c r="D383" s="80"/>
      <c r="E383" s="83"/>
      <c r="F383" s="83"/>
      <c r="G383" s="43"/>
      <c r="H383" s="80"/>
      <c r="I383" s="49"/>
      <c r="J383" s="83"/>
      <c r="K383" s="84"/>
      <c r="L383" s="80"/>
      <c r="M383" s="80"/>
      <c r="N383" s="80"/>
      <c r="O383" s="80"/>
      <c r="P383" s="80"/>
      <c r="Q383" s="80"/>
      <c r="R383" s="62"/>
      <c r="S383" s="73"/>
      <c r="T383" s="83"/>
      <c r="U383" s="93"/>
      <c r="V383" s="103"/>
      <c r="W383" s="100"/>
      <c r="X383" s="90"/>
      <c r="Y383" s="91"/>
      <c r="Z383" s="92"/>
      <c r="AA383" s="80"/>
      <c r="AB383" s="80"/>
      <c r="AC383" s="80"/>
    </row>
    <row r="384" spans="1:29" ht="39.950000000000003" customHeight="1" x14ac:dyDescent="0.25">
      <c r="A384" s="80"/>
      <c r="B384" s="88"/>
      <c r="C384" s="80"/>
      <c r="D384" s="80"/>
      <c r="E384" s="83"/>
      <c r="F384" s="83"/>
      <c r="G384" s="43"/>
      <c r="H384" s="80"/>
      <c r="I384" s="49"/>
      <c r="J384" s="83"/>
      <c r="K384" s="84"/>
      <c r="L384" s="80"/>
      <c r="M384" s="80"/>
      <c r="N384" s="80"/>
      <c r="O384" s="80"/>
      <c r="P384" s="80"/>
      <c r="Q384" s="80"/>
      <c r="R384" s="62"/>
      <c r="S384" s="73"/>
      <c r="T384" s="83"/>
      <c r="U384" s="93"/>
      <c r="V384" s="103"/>
      <c r="W384" s="100"/>
      <c r="X384" s="90"/>
      <c r="Y384" s="91"/>
      <c r="Z384" s="92"/>
      <c r="AA384" s="80"/>
      <c r="AB384" s="80"/>
      <c r="AC384" s="80"/>
    </row>
    <row r="385" spans="1:29" ht="39.950000000000003" customHeight="1" x14ac:dyDescent="0.25">
      <c r="A385" s="80"/>
      <c r="B385" s="88"/>
      <c r="C385" s="80"/>
      <c r="D385" s="80"/>
      <c r="E385" s="83"/>
      <c r="F385" s="83"/>
      <c r="G385" s="43"/>
      <c r="H385" s="80"/>
      <c r="I385" s="49"/>
      <c r="J385" s="83"/>
      <c r="K385" s="84"/>
      <c r="L385" s="80"/>
      <c r="M385" s="80"/>
      <c r="N385" s="80"/>
      <c r="O385" s="80"/>
      <c r="P385" s="80"/>
      <c r="Q385" s="80"/>
      <c r="R385" s="62"/>
      <c r="S385" s="73"/>
      <c r="T385" s="83"/>
      <c r="U385" s="93"/>
      <c r="V385" s="103"/>
      <c r="W385" s="100"/>
      <c r="X385" s="90"/>
      <c r="Y385" s="91"/>
      <c r="Z385" s="92"/>
      <c r="AA385" s="80"/>
      <c r="AB385" s="80"/>
      <c r="AC385" s="80"/>
    </row>
    <row r="386" spans="1:29" ht="39.950000000000003" customHeight="1" x14ac:dyDescent="0.25">
      <c r="A386" s="80"/>
      <c r="B386" s="88"/>
      <c r="C386" s="80"/>
      <c r="D386" s="80"/>
      <c r="E386" s="83"/>
      <c r="F386" s="83"/>
      <c r="G386" s="43"/>
      <c r="H386" s="80"/>
      <c r="I386" s="49"/>
      <c r="J386" s="83"/>
      <c r="K386" s="84"/>
      <c r="L386" s="80"/>
      <c r="M386" s="80"/>
      <c r="N386" s="80"/>
      <c r="O386" s="80"/>
      <c r="P386" s="80"/>
      <c r="Q386" s="80"/>
      <c r="R386" s="62"/>
      <c r="S386" s="73"/>
      <c r="T386" s="83"/>
      <c r="U386" s="93"/>
      <c r="V386" s="103"/>
      <c r="W386" s="100"/>
      <c r="X386" s="90"/>
      <c r="Y386" s="91"/>
      <c r="Z386" s="92"/>
      <c r="AA386" s="80"/>
      <c r="AB386" s="80"/>
      <c r="AC386" s="80"/>
    </row>
    <row r="387" spans="1:29" ht="39.950000000000003" customHeight="1" x14ac:dyDescent="0.25">
      <c r="A387" s="80"/>
      <c r="B387" s="88"/>
      <c r="C387" s="80"/>
      <c r="D387" s="80"/>
      <c r="E387" s="83"/>
      <c r="F387" s="83"/>
      <c r="G387" s="43"/>
      <c r="H387" s="80"/>
      <c r="I387" s="49"/>
      <c r="J387" s="83"/>
      <c r="K387" s="84"/>
      <c r="L387" s="80"/>
      <c r="M387" s="80"/>
      <c r="N387" s="80"/>
      <c r="O387" s="80"/>
      <c r="P387" s="80"/>
      <c r="Q387" s="80"/>
      <c r="R387" s="62"/>
      <c r="S387" s="73"/>
      <c r="T387" s="83"/>
      <c r="U387" s="93"/>
      <c r="V387" s="103"/>
      <c r="W387" s="100"/>
      <c r="X387" s="90"/>
      <c r="Y387" s="91"/>
      <c r="Z387" s="92"/>
      <c r="AA387" s="80"/>
      <c r="AB387" s="80"/>
      <c r="AC387" s="80"/>
    </row>
    <row r="388" spans="1:29" ht="39.950000000000003" customHeight="1" x14ac:dyDescent="0.25">
      <c r="A388" s="80"/>
      <c r="B388" s="88"/>
      <c r="C388" s="80"/>
      <c r="D388" s="80"/>
      <c r="E388" s="83"/>
      <c r="F388" s="83"/>
      <c r="G388" s="43"/>
      <c r="H388" s="80"/>
      <c r="I388" s="49"/>
      <c r="J388" s="83"/>
      <c r="K388" s="84"/>
      <c r="L388" s="80"/>
      <c r="M388" s="80"/>
      <c r="N388" s="80"/>
      <c r="O388" s="80"/>
      <c r="P388" s="80"/>
      <c r="Q388" s="80"/>
      <c r="R388" s="62"/>
      <c r="S388" s="73"/>
      <c r="T388" s="83"/>
      <c r="U388" s="93"/>
      <c r="V388" s="103"/>
      <c r="W388" s="100"/>
      <c r="X388" s="90"/>
      <c r="Y388" s="91"/>
      <c r="Z388" s="92"/>
      <c r="AA388" s="80"/>
      <c r="AB388" s="80"/>
      <c r="AC388" s="80"/>
    </row>
    <row r="389" spans="1:29" ht="39.950000000000003" customHeight="1" x14ac:dyDescent="0.25">
      <c r="A389" s="80"/>
      <c r="B389" s="88"/>
      <c r="C389" s="80"/>
      <c r="D389" s="80"/>
      <c r="E389" s="83"/>
      <c r="F389" s="83"/>
      <c r="G389" s="43"/>
      <c r="H389" s="80"/>
      <c r="I389" s="49"/>
      <c r="J389" s="83"/>
      <c r="K389" s="84"/>
      <c r="L389" s="80"/>
      <c r="M389" s="80"/>
      <c r="N389" s="80"/>
      <c r="O389" s="80"/>
      <c r="P389" s="80"/>
      <c r="Q389" s="80"/>
      <c r="R389" s="62"/>
      <c r="S389" s="73"/>
      <c r="T389" s="83"/>
      <c r="U389" s="93"/>
      <c r="V389" s="103"/>
      <c r="W389" s="100"/>
      <c r="X389" s="90"/>
      <c r="Y389" s="91"/>
      <c r="Z389" s="92"/>
      <c r="AA389" s="80"/>
      <c r="AB389" s="80"/>
      <c r="AC389" s="80"/>
    </row>
    <row r="390" spans="1:29" ht="39.950000000000003" customHeight="1" x14ac:dyDescent="0.25">
      <c r="A390" s="80"/>
      <c r="B390" s="88"/>
      <c r="C390" s="80"/>
      <c r="D390" s="80"/>
      <c r="E390" s="83"/>
      <c r="F390" s="83"/>
      <c r="G390" s="43"/>
      <c r="H390" s="80"/>
      <c r="I390" s="49"/>
      <c r="J390" s="83"/>
      <c r="K390" s="84"/>
      <c r="L390" s="80"/>
      <c r="M390" s="80"/>
      <c r="N390" s="80"/>
      <c r="O390" s="80"/>
      <c r="P390" s="80"/>
      <c r="Q390" s="80"/>
      <c r="R390" s="62"/>
      <c r="S390" s="73"/>
      <c r="T390" s="83"/>
      <c r="U390" s="93"/>
      <c r="V390" s="103"/>
      <c r="W390" s="100"/>
      <c r="X390" s="90"/>
      <c r="Y390" s="91"/>
      <c r="Z390" s="92"/>
      <c r="AA390" s="80"/>
      <c r="AB390" s="80"/>
      <c r="AC390" s="80"/>
    </row>
    <row r="391" spans="1:29" ht="39.950000000000003" customHeight="1" x14ac:dyDescent="0.25">
      <c r="A391" s="80"/>
      <c r="B391" s="88"/>
      <c r="C391" s="80"/>
      <c r="D391" s="80"/>
      <c r="E391" s="83"/>
      <c r="F391" s="83"/>
      <c r="G391" s="43"/>
      <c r="H391" s="80"/>
      <c r="I391" s="49"/>
      <c r="J391" s="83"/>
      <c r="K391" s="84"/>
      <c r="L391" s="80"/>
      <c r="M391" s="80"/>
      <c r="N391" s="80"/>
      <c r="O391" s="80"/>
      <c r="P391" s="80"/>
      <c r="Q391" s="80"/>
      <c r="R391" s="62"/>
      <c r="S391" s="73"/>
      <c r="T391" s="83"/>
      <c r="U391" s="93"/>
      <c r="V391" s="103"/>
      <c r="W391" s="100"/>
      <c r="X391" s="90"/>
      <c r="Y391" s="91"/>
      <c r="Z391" s="92"/>
      <c r="AA391" s="80"/>
      <c r="AB391" s="80"/>
      <c r="AC391" s="80"/>
    </row>
    <row r="392" spans="1:29" ht="39.950000000000003" customHeight="1" x14ac:dyDescent="0.25">
      <c r="A392" s="80"/>
      <c r="B392" s="88"/>
      <c r="C392" s="80"/>
      <c r="D392" s="80"/>
      <c r="E392" s="83"/>
      <c r="F392" s="83"/>
      <c r="G392" s="43"/>
      <c r="H392" s="80"/>
      <c r="I392" s="49"/>
      <c r="J392" s="83"/>
      <c r="K392" s="84"/>
      <c r="L392" s="80"/>
      <c r="M392" s="80"/>
      <c r="N392" s="80"/>
      <c r="O392" s="80"/>
      <c r="P392" s="80"/>
      <c r="Q392" s="80"/>
      <c r="R392" s="62"/>
      <c r="S392" s="73"/>
      <c r="T392" s="83"/>
      <c r="U392" s="93"/>
      <c r="V392" s="103"/>
      <c r="W392" s="100"/>
      <c r="X392" s="90"/>
      <c r="Y392" s="91"/>
      <c r="Z392" s="92"/>
      <c r="AA392" s="80"/>
      <c r="AB392" s="80"/>
      <c r="AC392" s="80"/>
    </row>
    <row r="393" spans="1:29" ht="39.950000000000003" customHeight="1" x14ac:dyDescent="0.25">
      <c r="A393" s="80"/>
      <c r="B393" s="88"/>
      <c r="C393" s="80"/>
      <c r="D393" s="80"/>
      <c r="E393" s="83"/>
      <c r="F393" s="83"/>
      <c r="G393" s="43"/>
      <c r="H393" s="80"/>
      <c r="I393" s="49"/>
      <c r="J393" s="83"/>
      <c r="K393" s="84"/>
      <c r="L393" s="80"/>
      <c r="M393" s="80"/>
      <c r="N393" s="80"/>
      <c r="O393" s="80"/>
      <c r="P393" s="80"/>
      <c r="Q393" s="80"/>
      <c r="R393" s="62"/>
      <c r="S393" s="73"/>
      <c r="T393" s="83"/>
      <c r="U393" s="93"/>
      <c r="V393" s="103"/>
      <c r="W393" s="100"/>
      <c r="X393" s="90"/>
      <c r="Y393" s="91"/>
      <c r="Z393" s="92"/>
      <c r="AA393" s="80"/>
      <c r="AB393" s="80"/>
      <c r="AC393" s="80"/>
    </row>
    <row r="394" spans="1:29" ht="39.950000000000003" customHeight="1" x14ac:dyDescent="0.25">
      <c r="A394" s="80"/>
      <c r="B394" s="88"/>
      <c r="C394" s="80"/>
      <c r="D394" s="80"/>
      <c r="E394" s="83"/>
      <c r="F394" s="83"/>
      <c r="G394" s="43"/>
      <c r="H394" s="80"/>
      <c r="I394" s="49"/>
      <c r="J394" s="83"/>
      <c r="K394" s="84"/>
      <c r="L394" s="80"/>
      <c r="M394" s="80"/>
      <c r="N394" s="80"/>
      <c r="O394" s="80"/>
      <c r="P394" s="80"/>
      <c r="Q394" s="80"/>
      <c r="R394" s="62"/>
      <c r="S394" s="73"/>
      <c r="T394" s="83"/>
      <c r="U394" s="93"/>
      <c r="V394" s="103"/>
      <c r="W394" s="100"/>
      <c r="X394" s="90"/>
      <c r="Y394" s="91"/>
      <c r="Z394" s="92"/>
      <c r="AA394" s="80"/>
      <c r="AB394" s="80"/>
      <c r="AC394" s="80"/>
    </row>
    <row r="395" spans="1:29" ht="39.950000000000003" customHeight="1" x14ac:dyDescent="0.25">
      <c r="A395" s="80"/>
      <c r="B395" s="88"/>
      <c r="C395" s="80"/>
      <c r="D395" s="80"/>
      <c r="E395" s="83"/>
      <c r="F395" s="83"/>
      <c r="G395" s="43"/>
      <c r="H395" s="80"/>
      <c r="I395" s="49"/>
      <c r="J395" s="83"/>
      <c r="K395" s="84"/>
      <c r="L395" s="80"/>
      <c r="M395" s="80"/>
      <c r="N395" s="80"/>
      <c r="O395" s="80"/>
      <c r="P395" s="80"/>
      <c r="Q395" s="80"/>
      <c r="R395" s="62"/>
      <c r="S395" s="73"/>
      <c r="T395" s="83"/>
      <c r="U395" s="93"/>
      <c r="V395" s="103"/>
      <c r="W395" s="100"/>
      <c r="X395" s="90"/>
      <c r="Y395" s="91"/>
      <c r="Z395" s="92"/>
      <c r="AA395" s="80"/>
      <c r="AB395" s="80"/>
      <c r="AC395" s="80"/>
    </row>
    <row r="396" spans="1:29" ht="39.950000000000003" customHeight="1" x14ac:dyDescent="0.25">
      <c r="A396" s="80"/>
      <c r="B396" s="88"/>
      <c r="C396" s="80"/>
      <c r="D396" s="80"/>
      <c r="E396" s="83"/>
      <c r="F396" s="83"/>
      <c r="G396" s="43"/>
      <c r="H396" s="80"/>
      <c r="I396" s="49"/>
      <c r="J396" s="83"/>
      <c r="K396" s="84"/>
      <c r="L396" s="80"/>
      <c r="M396" s="80"/>
      <c r="N396" s="80"/>
      <c r="O396" s="80"/>
      <c r="P396" s="80"/>
      <c r="Q396" s="80"/>
      <c r="R396" s="62"/>
      <c r="S396" s="73"/>
      <c r="T396" s="83"/>
      <c r="U396" s="93"/>
      <c r="V396" s="103"/>
      <c r="W396" s="100"/>
      <c r="X396" s="90"/>
      <c r="Y396" s="91"/>
      <c r="Z396" s="92"/>
      <c r="AA396" s="80"/>
      <c r="AB396" s="80"/>
      <c r="AC396" s="80"/>
    </row>
    <row r="397" spans="1:29" ht="39.950000000000003" customHeight="1" x14ac:dyDescent="0.25">
      <c r="A397" s="80"/>
      <c r="B397" s="88"/>
      <c r="C397" s="80"/>
      <c r="D397" s="80"/>
      <c r="E397" s="83"/>
      <c r="F397" s="83"/>
      <c r="G397" s="43"/>
      <c r="H397" s="80"/>
      <c r="I397" s="49"/>
      <c r="J397" s="83"/>
      <c r="K397" s="84"/>
      <c r="L397" s="80"/>
      <c r="M397" s="80"/>
      <c r="N397" s="80"/>
      <c r="O397" s="80"/>
      <c r="P397" s="80"/>
      <c r="Q397" s="80"/>
      <c r="R397" s="62"/>
      <c r="S397" s="73"/>
      <c r="T397" s="83"/>
      <c r="U397" s="93"/>
      <c r="V397" s="103"/>
      <c r="W397" s="100"/>
      <c r="X397" s="90"/>
      <c r="Y397" s="91"/>
      <c r="Z397" s="92"/>
      <c r="AA397" s="80"/>
      <c r="AB397" s="80"/>
      <c r="AC397" s="80"/>
    </row>
    <row r="398" spans="1:29" ht="39.950000000000003" customHeight="1" x14ac:dyDescent="0.25">
      <c r="A398" s="80"/>
      <c r="B398" s="88"/>
      <c r="C398" s="80"/>
      <c r="D398" s="80"/>
      <c r="E398" s="83"/>
      <c r="F398" s="83"/>
      <c r="G398" s="43"/>
      <c r="H398" s="80"/>
      <c r="I398" s="49"/>
      <c r="J398" s="83"/>
      <c r="K398" s="84"/>
      <c r="L398" s="80"/>
      <c r="M398" s="80"/>
      <c r="N398" s="80"/>
      <c r="O398" s="80"/>
      <c r="P398" s="80"/>
      <c r="Q398" s="80"/>
      <c r="R398" s="62"/>
      <c r="S398" s="73"/>
      <c r="T398" s="83"/>
      <c r="U398" s="93"/>
      <c r="V398" s="103"/>
      <c r="W398" s="100"/>
      <c r="X398" s="90"/>
      <c r="Y398" s="91"/>
      <c r="Z398" s="92"/>
      <c r="AA398" s="80"/>
      <c r="AB398" s="80"/>
      <c r="AC398" s="80"/>
    </row>
    <row r="399" spans="1:29" ht="39.950000000000003" customHeight="1" x14ac:dyDescent="0.25">
      <c r="A399" s="80"/>
      <c r="B399" s="88"/>
      <c r="C399" s="80"/>
      <c r="D399" s="80"/>
      <c r="E399" s="83"/>
      <c r="F399" s="83"/>
      <c r="G399" s="43"/>
      <c r="H399" s="80"/>
      <c r="I399" s="49"/>
      <c r="J399" s="83"/>
      <c r="K399" s="84"/>
      <c r="L399" s="80"/>
      <c r="M399" s="80"/>
      <c r="N399" s="80"/>
      <c r="O399" s="80"/>
      <c r="P399" s="80"/>
      <c r="Q399" s="80"/>
      <c r="R399" s="62"/>
      <c r="S399" s="73"/>
      <c r="T399" s="83"/>
      <c r="U399" s="93"/>
      <c r="V399" s="103"/>
      <c r="W399" s="100"/>
      <c r="X399" s="90"/>
      <c r="Y399" s="91"/>
      <c r="Z399" s="92"/>
      <c r="AA399" s="80"/>
      <c r="AB399" s="80"/>
      <c r="AC399" s="80"/>
    </row>
    <row r="400" spans="1:29" ht="39.950000000000003" customHeight="1" x14ac:dyDescent="0.25">
      <c r="A400" s="80"/>
      <c r="B400" s="88"/>
      <c r="C400" s="80"/>
      <c r="D400" s="80"/>
      <c r="E400" s="83"/>
      <c r="F400" s="83"/>
      <c r="G400" s="43"/>
      <c r="H400" s="80"/>
      <c r="I400" s="49"/>
      <c r="J400" s="83"/>
      <c r="K400" s="84"/>
      <c r="L400" s="80"/>
      <c r="M400" s="80"/>
      <c r="N400" s="80"/>
      <c r="O400" s="80"/>
      <c r="P400" s="80"/>
      <c r="Q400" s="80"/>
      <c r="R400" s="62"/>
      <c r="S400" s="73"/>
      <c r="T400" s="83"/>
      <c r="U400" s="93"/>
      <c r="V400" s="103"/>
      <c r="W400" s="100"/>
      <c r="X400" s="90"/>
      <c r="Y400" s="91"/>
      <c r="Z400" s="92"/>
      <c r="AA400" s="80"/>
      <c r="AB400" s="80"/>
      <c r="AC400" s="80"/>
    </row>
    <row r="401" spans="1:29" ht="39.950000000000003" customHeight="1" x14ac:dyDescent="0.25">
      <c r="A401" s="80"/>
      <c r="B401" s="88"/>
      <c r="C401" s="80"/>
      <c r="D401" s="80"/>
      <c r="E401" s="83"/>
      <c r="F401" s="83"/>
      <c r="G401" s="43"/>
      <c r="H401" s="80"/>
      <c r="I401" s="49"/>
      <c r="J401" s="83"/>
      <c r="K401" s="84"/>
      <c r="L401" s="80"/>
      <c r="M401" s="80"/>
      <c r="N401" s="80"/>
      <c r="O401" s="80"/>
      <c r="P401" s="80"/>
      <c r="Q401" s="80"/>
      <c r="R401" s="62"/>
      <c r="S401" s="73"/>
      <c r="T401" s="83"/>
      <c r="U401" s="93"/>
      <c r="V401" s="103"/>
      <c r="W401" s="100"/>
      <c r="X401" s="90"/>
      <c r="Y401" s="91"/>
      <c r="Z401" s="92"/>
      <c r="AA401" s="80"/>
      <c r="AB401" s="80"/>
      <c r="AC401" s="80"/>
    </row>
    <row r="402" spans="1:29" ht="39.950000000000003" customHeight="1" x14ac:dyDescent="0.25">
      <c r="A402" s="80"/>
      <c r="B402" s="88"/>
      <c r="C402" s="80"/>
      <c r="D402" s="80"/>
      <c r="E402" s="83"/>
      <c r="F402" s="83"/>
      <c r="G402" s="43"/>
      <c r="H402" s="80"/>
      <c r="I402" s="49"/>
      <c r="J402" s="83"/>
      <c r="K402" s="84"/>
      <c r="L402" s="80"/>
      <c r="M402" s="80"/>
      <c r="N402" s="80"/>
      <c r="O402" s="80"/>
      <c r="P402" s="80"/>
      <c r="Q402" s="80"/>
      <c r="R402" s="62"/>
      <c r="S402" s="73"/>
      <c r="T402" s="83"/>
      <c r="U402" s="93"/>
      <c r="V402" s="103"/>
      <c r="W402" s="100"/>
      <c r="X402" s="90"/>
      <c r="Y402" s="91"/>
      <c r="Z402" s="92"/>
      <c r="AA402" s="80"/>
      <c r="AB402" s="80"/>
      <c r="AC402" s="80"/>
    </row>
    <row r="403" spans="1:29" ht="39.950000000000003" customHeight="1" x14ac:dyDescent="0.25">
      <c r="A403" s="80"/>
      <c r="B403" s="88"/>
      <c r="C403" s="80"/>
      <c r="D403" s="80"/>
      <c r="E403" s="83"/>
      <c r="F403" s="83"/>
      <c r="G403" s="43"/>
      <c r="H403" s="80"/>
      <c r="I403" s="49"/>
      <c r="J403" s="83"/>
      <c r="K403" s="84"/>
      <c r="L403" s="80"/>
      <c r="M403" s="80"/>
      <c r="N403" s="80"/>
      <c r="O403" s="80"/>
      <c r="P403" s="80"/>
      <c r="Q403" s="80"/>
      <c r="R403" s="62"/>
      <c r="S403" s="73"/>
      <c r="T403" s="83"/>
      <c r="U403" s="93"/>
      <c r="V403" s="103"/>
      <c r="W403" s="100"/>
      <c r="X403" s="90"/>
      <c r="Y403" s="91"/>
      <c r="Z403" s="92"/>
      <c r="AA403" s="80"/>
      <c r="AB403" s="80"/>
      <c r="AC403" s="80"/>
    </row>
    <row r="404" spans="1:29" ht="39.950000000000003" customHeight="1" x14ac:dyDescent="0.25">
      <c r="A404" s="80"/>
      <c r="B404" s="88"/>
      <c r="C404" s="80"/>
      <c r="D404" s="80"/>
      <c r="E404" s="83"/>
      <c r="F404" s="83"/>
      <c r="G404" s="43"/>
      <c r="H404" s="80"/>
      <c r="I404" s="49"/>
      <c r="J404" s="83"/>
      <c r="K404" s="84"/>
      <c r="L404" s="80"/>
      <c r="M404" s="80"/>
      <c r="N404" s="80"/>
      <c r="O404" s="80"/>
      <c r="P404" s="80"/>
      <c r="Q404" s="80"/>
      <c r="R404" s="62"/>
      <c r="S404" s="73"/>
      <c r="T404" s="83"/>
      <c r="U404" s="93"/>
      <c r="V404" s="103"/>
      <c r="W404" s="100"/>
      <c r="X404" s="90"/>
      <c r="Y404" s="91"/>
      <c r="Z404" s="92"/>
      <c r="AA404" s="80"/>
      <c r="AB404" s="80"/>
      <c r="AC404" s="80"/>
    </row>
    <row r="405" spans="1:29" ht="39.950000000000003" customHeight="1" x14ac:dyDescent="0.25">
      <c r="A405" s="80"/>
      <c r="B405" s="88"/>
      <c r="C405" s="80"/>
      <c r="D405" s="80"/>
      <c r="E405" s="83"/>
      <c r="F405" s="83"/>
      <c r="G405" s="43"/>
      <c r="H405" s="80"/>
      <c r="I405" s="49"/>
      <c r="J405" s="83"/>
      <c r="K405" s="84"/>
      <c r="L405" s="80"/>
      <c r="M405" s="80"/>
      <c r="N405" s="80"/>
      <c r="O405" s="80"/>
      <c r="P405" s="80"/>
      <c r="Q405" s="80"/>
      <c r="R405" s="62"/>
      <c r="S405" s="73"/>
      <c r="T405" s="83"/>
      <c r="U405" s="93"/>
      <c r="V405" s="103"/>
      <c r="W405" s="100"/>
      <c r="X405" s="90"/>
      <c r="Y405" s="91"/>
      <c r="Z405" s="92"/>
      <c r="AA405" s="80"/>
      <c r="AB405" s="80"/>
      <c r="AC405" s="80"/>
    </row>
    <row r="406" spans="1:29" ht="39.950000000000003" customHeight="1" x14ac:dyDescent="0.25">
      <c r="A406" s="80"/>
      <c r="B406" s="88"/>
      <c r="C406" s="80"/>
      <c r="D406" s="80"/>
      <c r="E406" s="83"/>
      <c r="F406" s="83"/>
      <c r="G406" s="43"/>
      <c r="H406" s="80"/>
      <c r="I406" s="49"/>
      <c r="J406" s="83"/>
      <c r="K406" s="84"/>
      <c r="L406" s="80"/>
      <c r="M406" s="80"/>
      <c r="N406" s="80"/>
      <c r="O406" s="80"/>
      <c r="P406" s="80"/>
      <c r="Q406" s="80"/>
      <c r="R406" s="62"/>
      <c r="S406" s="73"/>
      <c r="T406" s="83"/>
      <c r="U406" s="93"/>
      <c r="V406" s="103"/>
      <c r="W406" s="100"/>
      <c r="X406" s="90"/>
      <c r="Y406" s="91"/>
      <c r="Z406" s="92"/>
      <c r="AA406" s="80"/>
      <c r="AB406" s="80"/>
      <c r="AC406" s="80"/>
    </row>
    <row r="407" spans="1:29" ht="39.950000000000003" customHeight="1" x14ac:dyDescent="0.25">
      <c r="A407" s="80"/>
      <c r="B407" s="88"/>
      <c r="C407" s="80"/>
      <c r="D407" s="80"/>
      <c r="E407" s="83"/>
      <c r="F407" s="83"/>
      <c r="G407" s="43"/>
      <c r="H407" s="80"/>
      <c r="I407" s="49"/>
      <c r="J407" s="83"/>
      <c r="K407" s="84"/>
      <c r="L407" s="80"/>
      <c r="M407" s="80"/>
      <c r="N407" s="80"/>
      <c r="O407" s="80"/>
      <c r="P407" s="80"/>
      <c r="Q407" s="80"/>
      <c r="R407" s="62"/>
      <c r="S407" s="73"/>
      <c r="T407" s="83"/>
      <c r="U407" s="93"/>
      <c r="V407" s="103"/>
      <c r="W407" s="100"/>
      <c r="X407" s="90"/>
      <c r="Y407" s="91"/>
      <c r="Z407" s="92"/>
      <c r="AA407" s="80"/>
      <c r="AB407" s="80"/>
      <c r="AC407" s="80"/>
    </row>
    <row r="408" spans="1:29" ht="39.950000000000003" customHeight="1" x14ac:dyDescent="0.25">
      <c r="A408" s="80"/>
      <c r="B408" s="88"/>
      <c r="C408" s="80"/>
      <c r="D408" s="80"/>
      <c r="E408" s="83"/>
      <c r="F408" s="83"/>
      <c r="G408" s="43"/>
      <c r="H408" s="80"/>
      <c r="I408" s="49"/>
      <c r="J408" s="83"/>
      <c r="K408" s="84"/>
      <c r="L408" s="80"/>
      <c r="M408" s="80"/>
      <c r="N408" s="80"/>
      <c r="O408" s="80"/>
      <c r="P408" s="80"/>
      <c r="Q408" s="80"/>
      <c r="R408" s="62"/>
      <c r="S408" s="73"/>
      <c r="T408" s="83"/>
      <c r="U408" s="93"/>
      <c r="V408" s="103"/>
      <c r="W408" s="100"/>
      <c r="X408" s="90"/>
      <c r="Y408" s="91"/>
      <c r="Z408" s="92"/>
      <c r="AA408" s="80"/>
      <c r="AB408" s="80"/>
      <c r="AC408" s="80"/>
    </row>
    <row r="409" spans="1:29" ht="39.950000000000003" customHeight="1" x14ac:dyDescent="0.25">
      <c r="A409" s="80"/>
      <c r="B409" s="88"/>
      <c r="C409" s="80"/>
      <c r="D409" s="80"/>
      <c r="E409" s="83"/>
      <c r="F409" s="83"/>
      <c r="G409" s="43"/>
      <c r="H409" s="80"/>
      <c r="I409" s="49"/>
      <c r="J409" s="83"/>
      <c r="K409" s="84"/>
      <c r="L409" s="80"/>
      <c r="M409" s="80"/>
      <c r="N409" s="80"/>
      <c r="O409" s="80"/>
      <c r="P409" s="80"/>
      <c r="Q409" s="80"/>
      <c r="R409" s="62"/>
      <c r="S409" s="73"/>
      <c r="T409" s="83"/>
      <c r="U409" s="93"/>
      <c r="V409" s="103"/>
      <c r="W409" s="100"/>
      <c r="X409" s="90"/>
      <c r="Y409" s="91"/>
      <c r="Z409" s="92"/>
      <c r="AA409" s="80"/>
      <c r="AB409" s="80"/>
      <c r="AC409" s="80"/>
    </row>
    <row r="410" spans="1:29" ht="39.950000000000003" customHeight="1" x14ac:dyDescent="0.25">
      <c r="A410" s="80"/>
      <c r="B410" s="88"/>
      <c r="C410" s="80"/>
      <c r="D410" s="80"/>
      <c r="E410" s="83"/>
      <c r="F410" s="83"/>
      <c r="G410" s="43"/>
      <c r="H410" s="80"/>
      <c r="I410" s="49"/>
      <c r="J410" s="83"/>
      <c r="K410" s="84"/>
      <c r="L410" s="80"/>
      <c r="M410" s="80"/>
      <c r="N410" s="80"/>
      <c r="O410" s="80"/>
      <c r="P410" s="80"/>
      <c r="Q410" s="80"/>
      <c r="R410" s="62"/>
      <c r="S410" s="73"/>
      <c r="T410" s="83"/>
      <c r="U410" s="93"/>
      <c r="V410" s="103"/>
      <c r="W410" s="100"/>
      <c r="X410" s="90"/>
      <c r="Y410" s="91"/>
      <c r="Z410" s="92"/>
      <c r="AA410" s="80"/>
      <c r="AB410" s="80"/>
      <c r="AC410" s="80"/>
    </row>
    <row r="411" spans="1:29" ht="39.950000000000003" customHeight="1" x14ac:dyDescent="0.25">
      <c r="A411" s="80"/>
      <c r="B411" s="88"/>
      <c r="C411" s="80"/>
      <c r="D411" s="80"/>
      <c r="E411" s="83"/>
      <c r="F411" s="83"/>
      <c r="G411" s="43"/>
      <c r="H411" s="80"/>
      <c r="I411" s="49"/>
      <c r="J411" s="83"/>
      <c r="K411" s="84"/>
      <c r="L411" s="80"/>
      <c r="M411" s="80"/>
      <c r="N411" s="80"/>
      <c r="O411" s="80"/>
      <c r="P411" s="80"/>
      <c r="Q411" s="80"/>
      <c r="R411" s="62"/>
      <c r="S411" s="73"/>
      <c r="T411" s="83"/>
      <c r="U411" s="93"/>
      <c r="V411" s="103"/>
      <c r="W411" s="100"/>
      <c r="X411" s="90"/>
      <c r="Y411" s="91"/>
      <c r="Z411" s="92"/>
      <c r="AA411" s="80"/>
      <c r="AB411" s="80"/>
      <c r="AC411" s="80"/>
    </row>
    <row r="412" spans="1:29" ht="39.950000000000003" customHeight="1" x14ac:dyDescent="0.25">
      <c r="A412" s="80"/>
      <c r="B412" s="88"/>
      <c r="C412" s="80"/>
      <c r="D412" s="80"/>
      <c r="E412" s="83"/>
      <c r="F412" s="83"/>
      <c r="G412" s="43"/>
      <c r="H412" s="80"/>
      <c r="I412" s="49"/>
      <c r="J412" s="83"/>
      <c r="K412" s="84"/>
      <c r="L412" s="80"/>
      <c r="M412" s="80"/>
      <c r="N412" s="80"/>
      <c r="O412" s="80"/>
      <c r="P412" s="80"/>
      <c r="Q412" s="80"/>
      <c r="R412" s="62"/>
      <c r="S412" s="73"/>
      <c r="T412" s="83"/>
      <c r="U412" s="93"/>
      <c r="V412" s="103"/>
      <c r="W412" s="100"/>
      <c r="X412" s="90"/>
      <c r="Y412" s="91"/>
      <c r="Z412" s="92"/>
      <c r="AA412" s="80"/>
      <c r="AB412" s="80"/>
      <c r="AC412" s="80"/>
    </row>
    <row r="413" spans="1:29" ht="39.950000000000003" customHeight="1" x14ac:dyDescent="0.25">
      <c r="A413" s="80"/>
      <c r="B413" s="88"/>
      <c r="C413" s="80"/>
      <c r="D413" s="80"/>
      <c r="E413" s="83"/>
      <c r="F413" s="83"/>
      <c r="G413" s="43"/>
      <c r="H413" s="80"/>
      <c r="I413" s="49"/>
      <c r="J413" s="83"/>
      <c r="K413" s="84"/>
      <c r="L413" s="80"/>
      <c r="M413" s="80"/>
      <c r="N413" s="80"/>
      <c r="O413" s="80"/>
      <c r="P413" s="80"/>
      <c r="Q413" s="80"/>
      <c r="R413" s="62"/>
      <c r="S413" s="73"/>
      <c r="T413" s="83"/>
      <c r="U413" s="93"/>
      <c r="V413" s="103"/>
      <c r="W413" s="100"/>
      <c r="X413" s="90"/>
      <c r="Y413" s="91"/>
      <c r="Z413" s="92"/>
      <c r="AA413" s="80"/>
      <c r="AB413" s="80"/>
      <c r="AC413" s="80"/>
    </row>
    <row r="414" spans="1:29" ht="39.950000000000003" customHeight="1" x14ac:dyDescent="0.25">
      <c r="A414" s="80"/>
      <c r="B414" s="88"/>
      <c r="C414" s="80"/>
      <c r="D414" s="80"/>
      <c r="E414" s="83"/>
      <c r="F414" s="83"/>
      <c r="G414" s="43"/>
      <c r="H414" s="80"/>
      <c r="I414" s="49"/>
      <c r="J414" s="83"/>
      <c r="K414" s="84"/>
      <c r="L414" s="80"/>
      <c r="M414" s="80"/>
      <c r="N414" s="80"/>
      <c r="O414" s="80"/>
      <c r="P414" s="80"/>
      <c r="Q414" s="80"/>
      <c r="R414" s="62"/>
      <c r="S414" s="73"/>
      <c r="T414" s="83"/>
      <c r="U414" s="93"/>
      <c r="V414" s="103"/>
      <c r="W414" s="100"/>
      <c r="X414" s="90"/>
      <c r="Y414" s="91"/>
      <c r="Z414" s="92"/>
      <c r="AA414" s="80"/>
      <c r="AB414" s="80"/>
      <c r="AC414" s="80"/>
    </row>
    <row r="415" spans="1:29" ht="39.950000000000003" customHeight="1" x14ac:dyDescent="0.25">
      <c r="A415" s="80"/>
      <c r="B415" s="88"/>
      <c r="C415" s="80"/>
      <c r="D415" s="80"/>
      <c r="E415" s="83"/>
      <c r="F415" s="83"/>
      <c r="G415" s="43"/>
      <c r="H415" s="80"/>
      <c r="I415" s="49"/>
      <c r="J415" s="83"/>
      <c r="K415" s="84"/>
      <c r="L415" s="80"/>
      <c r="M415" s="80"/>
      <c r="N415" s="80"/>
      <c r="O415" s="80"/>
      <c r="P415" s="80"/>
      <c r="Q415" s="80"/>
      <c r="R415" s="62"/>
      <c r="S415" s="73"/>
      <c r="T415" s="83"/>
      <c r="U415" s="93"/>
      <c r="V415" s="103"/>
      <c r="W415" s="100"/>
      <c r="X415" s="90"/>
      <c r="Y415" s="91"/>
      <c r="Z415" s="92"/>
      <c r="AA415" s="80"/>
      <c r="AB415" s="80"/>
      <c r="AC415" s="80"/>
    </row>
    <row r="416" spans="1:29" ht="39.950000000000003" customHeight="1" x14ac:dyDescent="0.25">
      <c r="A416" s="80"/>
      <c r="B416" s="88"/>
      <c r="C416" s="80"/>
      <c r="D416" s="80"/>
      <c r="E416" s="83"/>
      <c r="F416" s="83"/>
      <c r="G416" s="43"/>
      <c r="H416" s="80"/>
      <c r="I416" s="49"/>
      <c r="J416" s="83"/>
      <c r="K416" s="84"/>
      <c r="L416" s="80"/>
      <c r="M416" s="80"/>
      <c r="N416" s="80"/>
      <c r="O416" s="80"/>
      <c r="P416" s="80"/>
      <c r="Q416" s="80"/>
      <c r="R416" s="62"/>
      <c r="S416" s="73"/>
      <c r="T416" s="83"/>
      <c r="U416" s="93"/>
      <c r="V416" s="103"/>
      <c r="W416" s="100"/>
      <c r="X416" s="90"/>
      <c r="Y416" s="91"/>
      <c r="Z416" s="92"/>
      <c r="AA416" s="80"/>
      <c r="AB416" s="80"/>
      <c r="AC416" s="80"/>
    </row>
    <row r="417" spans="1:29" ht="39.950000000000003" customHeight="1" x14ac:dyDescent="0.25">
      <c r="A417" s="80"/>
      <c r="B417" s="88"/>
      <c r="C417" s="80"/>
      <c r="D417" s="80"/>
      <c r="E417" s="83"/>
      <c r="F417" s="83"/>
      <c r="G417" s="43"/>
      <c r="H417" s="80"/>
      <c r="I417" s="49"/>
      <c r="J417" s="83"/>
      <c r="K417" s="84"/>
      <c r="L417" s="80"/>
      <c r="M417" s="80"/>
      <c r="N417" s="80"/>
      <c r="O417" s="80"/>
      <c r="P417" s="80"/>
      <c r="Q417" s="80"/>
      <c r="R417" s="62"/>
      <c r="S417" s="73"/>
      <c r="T417" s="83"/>
      <c r="U417" s="93"/>
      <c r="V417" s="103"/>
      <c r="W417" s="100"/>
      <c r="X417" s="90"/>
      <c r="Y417" s="91"/>
      <c r="Z417" s="92"/>
      <c r="AA417" s="80"/>
      <c r="AB417" s="80"/>
      <c r="AC417" s="80"/>
    </row>
    <row r="418" spans="1:29" ht="39.950000000000003" customHeight="1" x14ac:dyDescent="0.25">
      <c r="A418" s="80"/>
      <c r="B418" s="88"/>
      <c r="C418" s="80"/>
      <c r="D418" s="80"/>
      <c r="E418" s="83"/>
      <c r="F418" s="83"/>
      <c r="G418" s="43"/>
      <c r="H418" s="80"/>
      <c r="I418" s="49"/>
      <c r="J418" s="83"/>
      <c r="K418" s="84"/>
      <c r="L418" s="80"/>
      <c r="M418" s="80"/>
      <c r="N418" s="80"/>
      <c r="O418" s="80"/>
      <c r="P418" s="80"/>
      <c r="Q418" s="80"/>
      <c r="R418" s="62"/>
      <c r="S418" s="73"/>
      <c r="T418" s="83"/>
      <c r="U418" s="93"/>
      <c r="V418" s="103"/>
      <c r="W418" s="100"/>
      <c r="X418" s="90"/>
      <c r="Y418" s="91"/>
      <c r="Z418" s="92"/>
      <c r="AA418" s="80"/>
      <c r="AB418" s="80"/>
      <c r="AC418" s="80"/>
    </row>
    <row r="419" spans="1:29" ht="39.950000000000003" customHeight="1" x14ac:dyDescent="0.25">
      <c r="A419" s="80"/>
      <c r="B419" s="88"/>
      <c r="C419" s="80"/>
      <c r="D419" s="80"/>
      <c r="E419" s="83"/>
      <c r="F419" s="83"/>
      <c r="G419" s="43"/>
      <c r="H419" s="80"/>
      <c r="I419" s="49"/>
      <c r="J419" s="83"/>
      <c r="K419" s="84"/>
      <c r="L419" s="80"/>
      <c r="M419" s="80"/>
      <c r="N419" s="80"/>
      <c r="O419" s="80"/>
      <c r="P419" s="80"/>
      <c r="Q419" s="80"/>
      <c r="R419" s="62"/>
      <c r="S419" s="73"/>
      <c r="T419" s="83"/>
      <c r="U419" s="93"/>
      <c r="V419" s="103"/>
      <c r="W419" s="100"/>
      <c r="X419" s="90"/>
      <c r="Y419" s="91"/>
      <c r="Z419" s="92"/>
      <c r="AA419" s="80"/>
      <c r="AB419" s="80"/>
      <c r="AC419" s="80"/>
    </row>
    <row r="420" spans="1:29" ht="39.950000000000003" customHeight="1" x14ac:dyDescent="0.25">
      <c r="A420" s="80"/>
      <c r="B420" s="88"/>
      <c r="C420" s="80"/>
      <c r="D420" s="80"/>
      <c r="E420" s="83"/>
      <c r="F420" s="83"/>
      <c r="G420" s="43"/>
      <c r="H420" s="80"/>
      <c r="I420" s="49"/>
      <c r="J420" s="83"/>
      <c r="K420" s="84"/>
      <c r="L420" s="80"/>
      <c r="M420" s="80"/>
      <c r="N420" s="80"/>
      <c r="O420" s="80"/>
      <c r="P420" s="80"/>
      <c r="Q420" s="80"/>
      <c r="R420" s="62"/>
      <c r="S420" s="73"/>
      <c r="T420" s="83"/>
      <c r="U420" s="93"/>
      <c r="V420" s="103"/>
      <c r="W420" s="100"/>
      <c r="X420" s="90"/>
      <c r="Y420" s="91"/>
      <c r="Z420" s="92"/>
      <c r="AA420" s="80"/>
      <c r="AB420" s="80"/>
      <c r="AC420" s="80"/>
    </row>
    <row r="421" spans="1:29" ht="39.950000000000003" customHeight="1" x14ac:dyDescent="0.25">
      <c r="A421" s="80"/>
      <c r="B421" s="88"/>
      <c r="C421" s="80"/>
      <c r="D421" s="80"/>
      <c r="E421" s="83"/>
      <c r="F421" s="83"/>
      <c r="G421" s="43"/>
      <c r="H421" s="80"/>
      <c r="I421" s="49"/>
      <c r="J421" s="83"/>
      <c r="K421" s="84"/>
      <c r="L421" s="80"/>
      <c r="M421" s="80"/>
      <c r="N421" s="80"/>
      <c r="O421" s="80"/>
      <c r="P421" s="80"/>
      <c r="Q421" s="80"/>
      <c r="R421" s="62"/>
      <c r="S421" s="73"/>
      <c r="T421" s="83"/>
      <c r="U421" s="93"/>
      <c r="V421" s="103"/>
      <c r="W421" s="100"/>
      <c r="X421" s="90"/>
      <c r="Y421" s="91"/>
      <c r="Z421" s="92"/>
      <c r="AA421" s="80"/>
      <c r="AB421" s="80"/>
      <c r="AC421" s="80"/>
    </row>
    <row r="422" spans="1:29" ht="39.950000000000003" customHeight="1" x14ac:dyDescent="0.25">
      <c r="A422" s="80"/>
      <c r="B422" s="88"/>
      <c r="C422" s="80"/>
      <c r="D422" s="80"/>
      <c r="E422" s="83"/>
      <c r="F422" s="83"/>
      <c r="G422" s="43"/>
      <c r="H422" s="80"/>
      <c r="I422" s="49"/>
      <c r="J422" s="83"/>
      <c r="K422" s="84"/>
      <c r="L422" s="80"/>
      <c r="M422" s="80"/>
      <c r="N422" s="80"/>
      <c r="O422" s="80"/>
      <c r="P422" s="80"/>
      <c r="Q422" s="80"/>
      <c r="R422" s="62"/>
      <c r="S422" s="73"/>
      <c r="T422" s="83"/>
      <c r="U422" s="93"/>
      <c r="V422" s="103"/>
      <c r="W422" s="100"/>
      <c r="X422" s="90"/>
      <c r="Y422" s="91"/>
      <c r="Z422" s="92"/>
      <c r="AA422" s="80"/>
      <c r="AB422" s="80"/>
      <c r="AC422" s="80"/>
    </row>
    <row r="423" spans="1:29" ht="39.950000000000003" customHeight="1" x14ac:dyDescent="0.25">
      <c r="A423" s="80"/>
      <c r="B423" s="88"/>
      <c r="C423" s="80"/>
      <c r="D423" s="80"/>
      <c r="E423" s="83"/>
      <c r="F423" s="83"/>
      <c r="G423" s="43"/>
      <c r="H423" s="80"/>
      <c r="I423" s="49"/>
      <c r="J423" s="83"/>
      <c r="K423" s="84"/>
      <c r="L423" s="80"/>
      <c r="M423" s="80"/>
      <c r="N423" s="80"/>
      <c r="O423" s="80"/>
      <c r="P423" s="80"/>
      <c r="Q423" s="80"/>
      <c r="R423" s="62"/>
      <c r="S423" s="73"/>
      <c r="T423" s="83"/>
      <c r="U423" s="93"/>
      <c r="V423" s="103"/>
      <c r="W423" s="100"/>
      <c r="X423" s="90"/>
      <c r="Y423" s="91"/>
      <c r="Z423" s="92"/>
      <c r="AA423" s="80"/>
      <c r="AB423" s="80"/>
      <c r="AC423" s="80"/>
    </row>
    <row r="424" spans="1:29" ht="39.950000000000003" customHeight="1" x14ac:dyDescent="0.25">
      <c r="A424" s="80"/>
      <c r="B424" s="88"/>
      <c r="C424" s="80"/>
      <c r="D424" s="80"/>
      <c r="E424" s="83"/>
      <c r="F424" s="83"/>
      <c r="G424" s="43"/>
      <c r="H424" s="80"/>
      <c r="I424" s="49"/>
      <c r="J424" s="83"/>
      <c r="K424" s="84"/>
      <c r="L424" s="80"/>
      <c r="M424" s="80"/>
      <c r="N424" s="80"/>
      <c r="O424" s="80"/>
      <c r="P424" s="80"/>
      <c r="Q424" s="80"/>
      <c r="R424" s="62"/>
      <c r="S424" s="73"/>
      <c r="T424" s="83"/>
      <c r="U424" s="93"/>
      <c r="V424" s="103"/>
      <c r="W424" s="100"/>
      <c r="X424" s="90"/>
      <c r="Y424" s="91"/>
      <c r="Z424" s="92"/>
      <c r="AA424" s="80"/>
      <c r="AB424" s="80"/>
      <c r="AC424" s="80"/>
    </row>
    <row r="425" spans="1:29" ht="39.950000000000003" customHeight="1" x14ac:dyDescent="0.25">
      <c r="A425" s="80"/>
      <c r="B425" s="88"/>
      <c r="C425" s="80"/>
      <c r="D425" s="80"/>
      <c r="E425" s="83"/>
      <c r="F425" s="83"/>
      <c r="G425" s="43"/>
      <c r="H425" s="80"/>
      <c r="I425" s="49"/>
      <c r="J425" s="83"/>
      <c r="K425" s="84"/>
      <c r="L425" s="80"/>
      <c r="M425" s="80"/>
      <c r="N425" s="80"/>
      <c r="O425" s="80"/>
      <c r="P425" s="80"/>
      <c r="Q425" s="80"/>
      <c r="R425" s="62"/>
      <c r="S425" s="73"/>
      <c r="T425" s="83"/>
      <c r="U425" s="93"/>
      <c r="V425" s="103"/>
      <c r="W425" s="100"/>
      <c r="X425" s="90"/>
      <c r="Y425" s="91"/>
      <c r="Z425" s="92"/>
      <c r="AA425" s="80"/>
      <c r="AB425" s="80"/>
      <c r="AC425" s="80"/>
    </row>
    <row r="426" spans="1:29" ht="39.950000000000003" customHeight="1" x14ac:dyDescent="0.25">
      <c r="A426" s="80"/>
      <c r="B426" s="88"/>
      <c r="C426" s="80"/>
      <c r="D426" s="80"/>
      <c r="E426" s="83"/>
      <c r="F426" s="83"/>
      <c r="G426" s="43"/>
      <c r="H426" s="80"/>
      <c r="I426" s="49"/>
      <c r="J426" s="83"/>
      <c r="K426" s="84"/>
      <c r="L426" s="80"/>
      <c r="M426" s="80"/>
      <c r="N426" s="80"/>
      <c r="O426" s="80"/>
      <c r="P426" s="80"/>
      <c r="Q426" s="80"/>
      <c r="R426" s="62"/>
      <c r="S426" s="73"/>
      <c r="T426" s="83"/>
      <c r="U426" s="93"/>
      <c r="V426" s="103"/>
      <c r="W426" s="100"/>
      <c r="X426" s="90"/>
      <c r="Y426" s="91"/>
      <c r="Z426" s="92"/>
      <c r="AA426" s="80"/>
      <c r="AB426" s="80"/>
      <c r="AC426" s="80"/>
    </row>
    <row r="427" spans="1:29" ht="39.950000000000003" customHeight="1" x14ac:dyDescent="0.25">
      <c r="A427" s="80"/>
      <c r="B427" s="88"/>
      <c r="C427" s="80"/>
      <c r="D427" s="80"/>
      <c r="E427" s="83"/>
      <c r="F427" s="83"/>
      <c r="G427" s="43"/>
      <c r="H427" s="80"/>
      <c r="I427" s="49"/>
      <c r="J427" s="83"/>
      <c r="K427" s="84"/>
      <c r="L427" s="80"/>
      <c r="M427" s="80"/>
      <c r="N427" s="80"/>
      <c r="O427" s="80"/>
      <c r="P427" s="80"/>
      <c r="Q427" s="80"/>
      <c r="R427" s="62"/>
      <c r="S427" s="73"/>
      <c r="T427" s="83"/>
      <c r="U427" s="93"/>
      <c r="V427" s="103"/>
      <c r="W427" s="100"/>
      <c r="X427" s="90"/>
      <c r="Y427" s="91"/>
      <c r="Z427" s="92"/>
      <c r="AA427" s="80"/>
      <c r="AB427" s="80"/>
      <c r="AC427" s="80"/>
    </row>
    <row r="428" spans="1:29" ht="39.950000000000003" customHeight="1" x14ac:dyDescent="0.25">
      <c r="A428" s="80"/>
      <c r="B428" s="88"/>
      <c r="C428" s="80"/>
      <c r="D428" s="80"/>
      <c r="E428" s="83"/>
      <c r="F428" s="83"/>
      <c r="G428" s="43"/>
      <c r="H428" s="80"/>
      <c r="I428" s="49"/>
      <c r="J428" s="83"/>
      <c r="K428" s="84"/>
      <c r="L428" s="80"/>
      <c r="M428" s="80"/>
      <c r="N428" s="80"/>
      <c r="O428" s="80"/>
      <c r="P428" s="80"/>
      <c r="Q428" s="80"/>
      <c r="R428" s="62"/>
      <c r="S428" s="73"/>
      <c r="T428" s="83"/>
      <c r="U428" s="93"/>
      <c r="V428" s="103"/>
      <c r="W428" s="100"/>
      <c r="X428" s="90"/>
      <c r="Y428" s="91"/>
      <c r="Z428" s="92"/>
      <c r="AA428" s="80"/>
      <c r="AB428" s="80"/>
      <c r="AC428" s="80"/>
    </row>
    <row r="429" spans="1:29" ht="39.950000000000003" customHeight="1" x14ac:dyDescent="0.25">
      <c r="A429" s="80"/>
      <c r="B429" s="88"/>
      <c r="C429" s="80"/>
      <c r="D429" s="80"/>
      <c r="E429" s="83"/>
      <c r="F429" s="83"/>
      <c r="G429" s="43"/>
      <c r="H429" s="80"/>
      <c r="I429" s="49"/>
      <c r="J429" s="83"/>
      <c r="K429" s="84"/>
      <c r="L429" s="80"/>
      <c r="M429" s="80"/>
      <c r="N429" s="80"/>
      <c r="O429" s="80"/>
      <c r="P429" s="80"/>
      <c r="Q429" s="80"/>
      <c r="R429" s="62"/>
      <c r="S429" s="73"/>
      <c r="T429" s="83"/>
      <c r="U429" s="93"/>
      <c r="V429" s="103"/>
      <c r="W429" s="100"/>
      <c r="X429" s="90"/>
      <c r="Y429" s="91"/>
      <c r="Z429" s="92"/>
      <c r="AA429" s="80"/>
      <c r="AB429" s="80"/>
      <c r="AC429" s="80"/>
    </row>
    <row r="430" spans="1:29" ht="39.950000000000003" customHeight="1" x14ac:dyDescent="0.25">
      <c r="A430" s="80"/>
      <c r="B430" s="88"/>
      <c r="C430" s="80"/>
      <c r="D430" s="80"/>
      <c r="E430" s="83"/>
      <c r="F430" s="83"/>
      <c r="G430" s="43"/>
      <c r="H430" s="80"/>
      <c r="I430" s="49"/>
      <c r="J430" s="83"/>
      <c r="K430" s="84"/>
      <c r="L430" s="80"/>
      <c r="M430" s="80"/>
      <c r="N430" s="80"/>
      <c r="O430" s="80"/>
      <c r="P430" s="80"/>
      <c r="Q430" s="80"/>
      <c r="R430" s="62"/>
      <c r="S430" s="73"/>
      <c r="T430" s="83"/>
      <c r="U430" s="93"/>
      <c r="V430" s="103"/>
      <c r="W430" s="100"/>
      <c r="X430" s="90"/>
      <c r="Y430" s="91"/>
      <c r="Z430" s="92"/>
      <c r="AA430" s="80"/>
      <c r="AB430" s="80"/>
      <c r="AC430" s="80"/>
    </row>
    <row r="431" spans="1:29" ht="39.950000000000003" customHeight="1" x14ac:dyDescent="0.25">
      <c r="A431" s="80"/>
      <c r="B431" s="88"/>
      <c r="C431" s="80"/>
      <c r="D431" s="80"/>
      <c r="E431" s="83"/>
      <c r="F431" s="83"/>
      <c r="G431" s="43"/>
      <c r="H431" s="80"/>
      <c r="I431" s="49"/>
      <c r="J431" s="83"/>
      <c r="K431" s="84"/>
      <c r="L431" s="80"/>
      <c r="M431" s="80"/>
      <c r="N431" s="80"/>
      <c r="O431" s="80"/>
      <c r="P431" s="80"/>
      <c r="Q431" s="80"/>
      <c r="R431" s="62"/>
      <c r="S431" s="73"/>
      <c r="T431" s="83"/>
      <c r="U431" s="93"/>
      <c r="V431" s="103"/>
      <c r="W431" s="100"/>
      <c r="X431" s="90"/>
      <c r="Y431" s="91"/>
      <c r="Z431" s="92"/>
      <c r="AA431" s="80"/>
      <c r="AB431" s="80"/>
      <c r="AC431" s="80"/>
    </row>
    <row r="432" spans="1:29" ht="39.950000000000003" customHeight="1" x14ac:dyDescent="0.25">
      <c r="A432" s="80"/>
      <c r="B432" s="88"/>
      <c r="C432" s="80"/>
      <c r="D432" s="80"/>
      <c r="E432" s="83"/>
      <c r="F432" s="83"/>
      <c r="G432" s="43"/>
      <c r="H432" s="80"/>
      <c r="I432" s="49"/>
      <c r="J432" s="83"/>
      <c r="K432" s="84"/>
      <c r="L432" s="80"/>
      <c r="M432" s="80"/>
      <c r="N432" s="80"/>
      <c r="O432" s="80"/>
      <c r="P432" s="80"/>
      <c r="Q432" s="80"/>
      <c r="R432" s="62"/>
      <c r="S432" s="73"/>
      <c r="T432" s="83"/>
      <c r="U432" s="93"/>
      <c r="V432" s="103"/>
      <c r="W432" s="100"/>
      <c r="X432" s="90"/>
      <c r="Y432" s="91"/>
      <c r="Z432" s="92"/>
      <c r="AA432" s="80"/>
      <c r="AB432" s="80"/>
      <c r="AC432" s="80"/>
    </row>
    <row r="433" spans="1:29" ht="39.950000000000003" customHeight="1" x14ac:dyDescent="0.25">
      <c r="A433" s="80"/>
      <c r="B433" s="88"/>
      <c r="C433" s="80"/>
      <c r="D433" s="80"/>
      <c r="E433" s="83"/>
      <c r="F433" s="83"/>
      <c r="G433" s="43"/>
      <c r="H433" s="80"/>
      <c r="I433" s="49"/>
      <c r="J433" s="83"/>
      <c r="K433" s="84"/>
      <c r="L433" s="80"/>
      <c r="M433" s="80"/>
      <c r="N433" s="80"/>
      <c r="O433" s="80"/>
      <c r="P433" s="80"/>
      <c r="Q433" s="80"/>
      <c r="R433" s="62"/>
      <c r="S433" s="73"/>
      <c r="T433" s="83"/>
      <c r="U433" s="93"/>
      <c r="V433" s="103"/>
      <c r="W433" s="100"/>
      <c r="X433" s="90"/>
      <c r="Y433" s="91"/>
      <c r="Z433" s="92"/>
      <c r="AA433" s="80"/>
      <c r="AB433" s="80"/>
      <c r="AC433" s="80"/>
    </row>
    <row r="434" spans="1:29" ht="39.950000000000003" customHeight="1" x14ac:dyDescent="0.25">
      <c r="A434" s="80"/>
      <c r="B434" s="88"/>
      <c r="C434" s="80"/>
      <c r="D434" s="80"/>
      <c r="E434" s="83"/>
      <c r="F434" s="83"/>
      <c r="G434" s="43"/>
      <c r="H434" s="80"/>
      <c r="I434" s="49"/>
      <c r="J434" s="83"/>
      <c r="K434" s="84"/>
      <c r="L434" s="80"/>
      <c r="M434" s="80"/>
      <c r="N434" s="80"/>
      <c r="O434" s="80"/>
      <c r="P434" s="80"/>
      <c r="Q434" s="80"/>
      <c r="R434" s="62"/>
      <c r="S434" s="73"/>
      <c r="T434" s="83"/>
      <c r="U434" s="93"/>
      <c r="V434" s="103"/>
      <c r="W434" s="100"/>
      <c r="X434" s="90"/>
      <c r="Y434" s="91"/>
      <c r="Z434" s="92"/>
      <c r="AA434" s="80"/>
      <c r="AB434" s="80"/>
      <c r="AC434" s="80"/>
    </row>
    <row r="435" spans="1:29" ht="39.950000000000003" customHeight="1" x14ac:dyDescent="0.25">
      <c r="A435" s="80"/>
      <c r="B435" s="88"/>
      <c r="C435" s="80"/>
      <c r="D435" s="80"/>
      <c r="E435" s="83"/>
      <c r="F435" s="83"/>
      <c r="G435" s="43"/>
      <c r="H435" s="80"/>
      <c r="I435" s="49"/>
      <c r="J435" s="83"/>
      <c r="K435" s="84"/>
      <c r="L435" s="80"/>
      <c r="M435" s="80"/>
      <c r="N435" s="80"/>
      <c r="O435" s="80"/>
      <c r="P435" s="80"/>
      <c r="Q435" s="80"/>
      <c r="R435" s="62"/>
      <c r="S435" s="73"/>
      <c r="T435" s="83"/>
      <c r="U435" s="93"/>
      <c r="V435" s="103"/>
      <c r="W435" s="100"/>
      <c r="X435" s="90"/>
      <c r="Y435" s="91"/>
      <c r="Z435" s="92"/>
      <c r="AA435" s="80"/>
      <c r="AB435" s="80"/>
      <c r="AC435" s="80"/>
    </row>
    <row r="436" spans="1:29" ht="39.950000000000003" customHeight="1" x14ac:dyDescent="0.25">
      <c r="A436" s="80"/>
      <c r="B436" s="88"/>
      <c r="C436" s="80"/>
      <c r="D436" s="80"/>
      <c r="E436" s="83"/>
      <c r="F436" s="83"/>
      <c r="G436" s="43"/>
      <c r="H436" s="80"/>
      <c r="I436" s="49"/>
      <c r="J436" s="83"/>
      <c r="K436" s="84"/>
      <c r="L436" s="80"/>
      <c r="M436" s="80"/>
      <c r="N436" s="80"/>
      <c r="O436" s="80"/>
      <c r="P436" s="80"/>
      <c r="Q436" s="80"/>
      <c r="R436" s="62"/>
      <c r="S436" s="73"/>
      <c r="T436" s="83"/>
      <c r="U436" s="93"/>
      <c r="V436" s="103"/>
      <c r="W436" s="100"/>
      <c r="X436" s="90"/>
      <c r="Y436" s="91"/>
      <c r="Z436" s="92"/>
      <c r="AA436" s="80"/>
      <c r="AB436" s="80"/>
      <c r="AC436" s="80"/>
    </row>
    <row r="437" spans="1:29" ht="39.950000000000003" customHeight="1" x14ac:dyDescent="0.25">
      <c r="A437" s="80"/>
      <c r="B437" s="88"/>
      <c r="C437" s="80"/>
      <c r="D437" s="80"/>
      <c r="E437" s="83"/>
      <c r="F437" s="83"/>
      <c r="G437" s="43"/>
      <c r="H437" s="80"/>
      <c r="I437" s="49"/>
      <c r="J437" s="83"/>
      <c r="K437" s="84"/>
      <c r="L437" s="80"/>
      <c r="M437" s="80"/>
      <c r="N437" s="80"/>
      <c r="O437" s="80"/>
      <c r="P437" s="80"/>
      <c r="Q437" s="80"/>
      <c r="R437" s="62"/>
      <c r="S437" s="73"/>
      <c r="T437" s="83"/>
      <c r="U437" s="93"/>
      <c r="V437" s="103"/>
      <c r="W437" s="100"/>
      <c r="X437" s="90"/>
      <c r="Y437" s="91"/>
      <c r="Z437" s="92"/>
      <c r="AA437" s="80"/>
      <c r="AB437" s="80"/>
      <c r="AC437" s="80"/>
    </row>
    <row r="438" spans="1:29" ht="39.950000000000003" customHeight="1" x14ac:dyDescent="0.25">
      <c r="A438" s="80"/>
      <c r="B438" s="88"/>
      <c r="C438" s="80"/>
      <c r="D438" s="80"/>
      <c r="E438" s="83"/>
      <c r="F438" s="83"/>
      <c r="G438" s="43"/>
      <c r="H438" s="80"/>
      <c r="I438" s="49"/>
      <c r="J438" s="83"/>
      <c r="K438" s="84"/>
      <c r="L438" s="80"/>
      <c r="M438" s="80"/>
      <c r="N438" s="80"/>
      <c r="O438" s="80"/>
      <c r="P438" s="80"/>
      <c r="Q438" s="80"/>
      <c r="R438" s="62"/>
      <c r="S438" s="73"/>
      <c r="T438" s="83"/>
      <c r="U438" s="93"/>
      <c r="V438" s="103"/>
      <c r="W438" s="100"/>
      <c r="X438" s="90"/>
      <c r="Y438" s="91"/>
      <c r="Z438" s="92"/>
      <c r="AA438" s="80"/>
      <c r="AB438" s="80"/>
      <c r="AC438" s="80"/>
    </row>
    <row r="439" spans="1:29" ht="39.950000000000003" customHeight="1" x14ac:dyDescent="0.25">
      <c r="A439" s="80"/>
      <c r="B439" s="88"/>
      <c r="C439" s="80"/>
      <c r="D439" s="80"/>
      <c r="E439" s="83"/>
      <c r="F439" s="83"/>
      <c r="G439" s="43"/>
      <c r="H439" s="80"/>
      <c r="I439" s="49"/>
      <c r="J439" s="83"/>
      <c r="K439" s="84"/>
      <c r="L439" s="80"/>
      <c r="M439" s="80"/>
      <c r="N439" s="80"/>
      <c r="O439" s="80"/>
      <c r="P439" s="80"/>
      <c r="Q439" s="80"/>
      <c r="R439" s="62"/>
      <c r="S439" s="73"/>
      <c r="T439" s="83"/>
      <c r="U439" s="93"/>
      <c r="V439" s="103"/>
      <c r="W439" s="100"/>
      <c r="X439" s="90"/>
      <c r="Y439" s="91"/>
      <c r="Z439" s="92"/>
      <c r="AA439" s="80"/>
      <c r="AB439" s="80"/>
      <c r="AC439" s="80"/>
    </row>
    <row r="440" spans="1:29" ht="39.950000000000003" customHeight="1" x14ac:dyDescent="0.25">
      <c r="A440" s="80"/>
      <c r="B440" s="88"/>
      <c r="C440" s="80"/>
      <c r="D440" s="80"/>
      <c r="E440" s="83"/>
      <c r="F440" s="83"/>
      <c r="G440" s="43"/>
      <c r="H440" s="80"/>
      <c r="I440" s="49"/>
      <c r="J440" s="83"/>
      <c r="K440" s="84"/>
      <c r="L440" s="80"/>
      <c r="M440" s="80"/>
      <c r="N440" s="80"/>
      <c r="O440" s="80"/>
      <c r="P440" s="80"/>
      <c r="Q440" s="80"/>
      <c r="R440" s="62"/>
      <c r="S440" s="73"/>
      <c r="T440" s="83"/>
      <c r="U440" s="93"/>
      <c r="V440" s="103"/>
      <c r="W440" s="100"/>
      <c r="X440" s="90"/>
      <c r="Y440" s="91"/>
      <c r="Z440" s="92"/>
      <c r="AA440" s="80"/>
      <c r="AB440" s="80"/>
      <c r="AC440" s="80"/>
    </row>
    <row r="441" spans="1:29" ht="39.950000000000003" customHeight="1" x14ac:dyDescent="0.25">
      <c r="A441" s="80"/>
      <c r="B441" s="88"/>
      <c r="C441" s="80"/>
      <c r="D441" s="80"/>
      <c r="E441" s="83"/>
      <c r="F441" s="83"/>
      <c r="G441" s="43"/>
      <c r="H441" s="80"/>
      <c r="I441" s="49"/>
      <c r="J441" s="83"/>
      <c r="K441" s="84"/>
      <c r="L441" s="80"/>
      <c r="M441" s="80"/>
      <c r="N441" s="80"/>
      <c r="O441" s="80"/>
      <c r="P441" s="80"/>
      <c r="Q441" s="80"/>
      <c r="R441" s="62"/>
      <c r="S441" s="73"/>
      <c r="T441" s="83"/>
      <c r="U441" s="93"/>
      <c r="V441" s="103"/>
      <c r="W441" s="100"/>
      <c r="X441" s="90"/>
      <c r="Y441" s="91"/>
      <c r="Z441" s="92"/>
      <c r="AA441" s="80"/>
      <c r="AB441" s="80"/>
      <c r="AC441" s="80"/>
    </row>
    <row r="442" spans="1:29" ht="39.950000000000003" customHeight="1" x14ac:dyDescent="0.25">
      <c r="A442" s="80"/>
      <c r="B442" s="88"/>
      <c r="C442" s="80"/>
      <c r="D442" s="80"/>
      <c r="E442" s="83"/>
      <c r="F442" s="83"/>
      <c r="G442" s="43"/>
      <c r="H442" s="80"/>
      <c r="I442" s="49"/>
      <c r="J442" s="83"/>
      <c r="K442" s="84"/>
      <c r="L442" s="80"/>
      <c r="M442" s="80"/>
      <c r="N442" s="80"/>
      <c r="O442" s="80"/>
      <c r="P442" s="80"/>
      <c r="Q442" s="80"/>
      <c r="R442" s="62"/>
      <c r="S442" s="73"/>
      <c r="T442" s="83"/>
      <c r="U442" s="93"/>
      <c r="V442" s="103"/>
      <c r="W442" s="100"/>
      <c r="X442" s="90"/>
      <c r="Y442" s="91"/>
      <c r="Z442" s="92"/>
      <c r="AA442" s="80"/>
      <c r="AB442" s="80"/>
      <c r="AC442" s="80"/>
    </row>
    <row r="443" spans="1:29" ht="39.950000000000003" customHeight="1" x14ac:dyDescent="0.25">
      <c r="A443" s="80"/>
      <c r="B443" s="88"/>
      <c r="C443" s="80"/>
      <c r="D443" s="80"/>
      <c r="E443" s="83"/>
      <c r="F443" s="83"/>
      <c r="G443" s="43"/>
      <c r="H443" s="80"/>
      <c r="I443" s="49"/>
      <c r="J443" s="83"/>
      <c r="K443" s="84"/>
      <c r="L443" s="80"/>
      <c r="M443" s="80"/>
      <c r="N443" s="80"/>
      <c r="O443" s="80"/>
      <c r="P443" s="80"/>
      <c r="Q443" s="80"/>
      <c r="R443" s="62"/>
      <c r="S443" s="73"/>
      <c r="T443" s="83"/>
      <c r="U443" s="93"/>
      <c r="V443" s="103"/>
      <c r="W443" s="100"/>
      <c r="X443" s="90"/>
      <c r="Y443" s="91"/>
      <c r="Z443" s="92"/>
      <c r="AA443" s="80"/>
      <c r="AB443" s="80"/>
      <c r="AC443" s="80"/>
    </row>
    <row r="444" spans="1:29" ht="39.950000000000003" customHeight="1" x14ac:dyDescent="0.25">
      <c r="A444" s="80"/>
      <c r="B444" s="88"/>
      <c r="C444" s="80"/>
      <c r="D444" s="80"/>
      <c r="E444" s="83"/>
      <c r="F444" s="83"/>
      <c r="G444" s="43"/>
      <c r="H444" s="80"/>
      <c r="I444" s="49"/>
      <c r="J444" s="83"/>
      <c r="K444" s="84"/>
      <c r="L444" s="80"/>
      <c r="M444" s="80"/>
      <c r="N444" s="80"/>
      <c r="O444" s="80"/>
      <c r="P444" s="80"/>
      <c r="Q444" s="80"/>
      <c r="R444" s="62"/>
      <c r="S444" s="73"/>
      <c r="T444" s="83"/>
      <c r="U444" s="93"/>
      <c r="V444" s="103"/>
      <c r="W444" s="100"/>
      <c r="X444" s="90"/>
      <c r="Y444" s="91"/>
      <c r="Z444" s="92"/>
      <c r="AA444" s="80"/>
      <c r="AB444" s="80"/>
      <c r="AC444" s="80"/>
    </row>
    <row r="445" spans="1:29" ht="39.950000000000003" customHeight="1" x14ac:dyDescent="0.25">
      <c r="A445" s="80"/>
      <c r="B445" s="88"/>
      <c r="C445" s="80"/>
      <c r="D445" s="80"/>
      <c r="E445" s="83"/>
      <c r="F445" s="83"/>
      <c r="G445" s="43"/>
      <c r="H445" s="80"/>
      <c r="I445" s="49"/>
      <c r="J445" s="83"/>
      <c r="K445" s="84"/>
      <c r="L445" s="80"/>
      <c r="M445" s="80"/>
      <c r="N445" s="80"/>
      <c r="O445" s="80"/>
      <c r="P445" s="80"/>
      <c r="Q445" s="80"/>
      <c r="R445" s="62"/>
      <c r="S445" s="73"/>
      <c r="T445" s="83"/>
      <c r="U445" s="93"/>
      <c r="V445" s="103"/>
      <c r="W445" s="100"/>
      <c r="X445" s="90"/>
      <c r="Y445" s="91"/>
      <c r="Z445" s="92"/>
      <c r="AA445" s="80"/>
      <c r="AB445" s="80"/>
      <c r="AC445" s="80"/>
    </row>
    <row r="446" spans="1:29" ht="39.950000000000003" customHeight="1" x14ac:dyDescent="0.25">
      <c r="A446" s="80"/>
      <c r="B446" s="88"/>
      <c r="C446" s="80"/>
      <c r="D446" s="80"/>
      <c r="E446" s="83"/>
      <c r="F446" s="83"/>
      <c r="G446" s="43"/>
      <c r="H446" s="80"/>
      <c r="I446" s="49"/>
      <c r="J446" s="83"/>
      <c r="K446" s="84"/>
      <c r="L446" s="80"/>
      <c r="M446" s="80"/>
      <c r="N446" s="80"/>
      <c r="O446" s="80"/>
      <c r="P446" s="80"/>
      <c r="Q446" s="80"/>
      <c r="R446" s="62"/>
      <c r="S446" s="73"/>
      <c r="T446" s="83"/>
      <c r="U446" s="93"/>
      <c r="V446" s="103"/>
      <c r="W446" s="100"/>
      <c r="X446" s="90"/>
      <c r="Y446" s="91"/>
      <c r="Z446" s="92"/>
      <c r="AA446" s="80"/>
      <c r="AB446" s="80"/>
      <c r="AC446" s="80"/>
    </row>
    <row r="447" spans="1:29" ht="39.950000000000003" customHeight="1" x14ac:dyDescent="0.25">
      <c r="A447" s="80"/>
      <c r="B447" s="88"/>
      <c r="C447" s="80"/>
      <c r="D447" s="80"/>
      <c r="E447" s="83"/>
      <c r="F447" s="83"/>
      <c r="G447" s="43"/>
      <c r="H447" s="80"/>
      <c r="I447" s="49"/>
      <c r="J447" s="83"/>
      <c r="K447" s="84"/>
      <c r="L447" s="80"/>
      <c r="M447" s="80"/>
      <c r="N447" s="80"/>
      <c r="O447" s="80"/>
      <c r="P447" s="80"/>
      <c r="Q447" s="80"/>
      <c r="R447" s="62"/>
      <c r="S447" s="73"/>
      <c r="T447" s="83"/>
      <c r="U447" s="93"/>
      <c r="V447" s="103"/>
      <c r="W447" s="100"/>
      <c r="X447" s="90"/>
      <c r="Y447" s="91"/>
      <c r="Z447" s="92"/>
      <c r="AA447" s="80"/>
      <c r="AB447" s="80"/>
      <c r="AC447" s="80"/>
    </row>
    <row r="448" spans="1:29" ht="39.950000000000003" customHeight="1" x14ac:dyDescent="0.25">
      <c r="A448" s="80"/>
      <c r="B448" s="88"/>
      <c r="C448" s="80"/>
      <c r="D448" s="80"/>
      <c r="E448" s="83"/>
      <c r="F448" s="83"/>
      <c r="G448" s="43"/>
      <c r="H448" s="80"/>
      <c r="I448" s="49"/>
      <c r="J448" s="83"/>
      <c r="K448" s="84"/>
      <c r="L448" s="80"/>
      <c r="M448" s="80"/>
      <c r="N448" s="80"/>
      <c r="O448" s="80"/>
      <c r="P448" s="80"/>
      <c r="Q448" s="80"/>
      <c r="R448" s="62"/>
      <c r="S448" s="73"/>
      <c r="T448" s="83"/>
      <c r="U448" s="93"/>
      <c r="V448" s="103"/>
      <c r="W448" s="100"/>
      <c r="X448" s="90"/>
      <c r="Y448" s="91"/>
      <c r="Z448" s="92"/>
      <c r="AA448" s="80"/>
      <c r="AB448" s="80"/>
      <c r="AC448" s="80"/>
    </row>
    <row r="449" spans="1:29" ht="39.950000000000003" customHeight="1" x14ac:dyDescent="0.25">
      <c r="A449" s="80"/>
      <c r="B449" s="88"/>
      <c r="C449" s="80"/>
      <c r="D449" s="80"/>
      <c r="E449" s="83"/>
      <c r="F449" s="83"/>
      <c r="G449" s="43"/>
      <c r="H449" s="80"/>
      <c r="I449" s="49"/>
      <c r="J449" s="83"/>
      <c r="K449" s="84"/>
      <c r="L449" s="80"/>
      <c r="M449" s="80"/>
      <c r="N449" s="80"/>
      <c r="O449" s="80"/>
      <c r="P449" s="80"/>
      <c r="Q449" s="80"/>
      <c r="R449" s="62"/>
      <c r="S449" s="73"/>
      <c r="T449" s="83"/>
      <c r="U449" s="93"/>
      <c r="V449" s="103"/>
      <c r="W449" s="100"/>
      <c r="X449" s="90"/>
      <c r="Y449" s="91"/>
      <c r="Z449" s="92"/>
      <c r="AA449" s="80"/>
      <c r="AB449" s="80"/>
      <c r="AC449" s="80"/>
    </row>
    <row r="450" spans="1:29" ht="39.950000000000003" customHeight="1" x14ac:dyDescent="0.25">
      <c r="A450" s="80"/>
      <c r="B450" s="88"/>
      <c r="C450" s="80"/>
      <c r="D450" s="80"/>
      <c r="E450" s="83"/>
      <c r="F450" s="83"/>
      <c r="G450" s="43"/>
      <c r="H450" s="80"/>
      <c r="I450" s="49"/>
      <c r="J450" s="83"/>
      <c r="K450" s="84"/>
      <c r="L450" s="80"/>
      <c r="M450" s="80"/>
      <c r="N450" s="80"/>
      <c r="O450" s="80"/>
      <c r="P450" s="80"/>
      <c r="Q450" s="80"/>
      <c r="R450" s="62"/>
      <c r="S450" s="73"/>
      <c r="T450" s="83"/>
      <c r="U450" s="93"/>
      <c r="V450" s="103"/>
      <c r="W450" s="100"/>
      <c r="X450" s="90"/>
      <c r="Y450" s="91"/>
      <c r="Z450" s="92"/>
      <c r="AA450" s="80"/>
      <c r="AB450" s="80"/>
      <c r="AC450" s="80"/>
    </row>
    <row r="451" spans="1:29" ht="39.950000000000003" customHeight="1" x14ac:dyDescent="0.25">
      <c r="A451" s="80"/>
      <c r="B451" s="88"/>
      <c r="C451" s="80"/>
      <c r="D451" s="80"/>
      <c r="E451" s="83"/>
      <c r="F451" s="83"/>
      <c r="G451" s="43"/>
      <c r="H451" s="80"/>
      <c r="I451" s="49"/>
      <c r="J451" s="83"/>
      <c r="K451" s="84"/>
      <c r="L451" s="80"/>
      <c r="M451" s="80"/>
      <c r="N451" s="80"/>
      <c r="O451" s="80"/>
      <c r="P451" s="80"/>
      <c r="Q451" s="80"/>
      <c r="R451" s="62"/>
      <c r="S451" s="73"/>
      <c r="T451" s="83"/>
      <c r="U451" s="93"/>
      <c r="V451" s="103"/>
      <c r="W451" s="100"/>
      <c r="X451" s="90"/>
      <c r="Y451" s="91"/>
      <c r="Z451" s="92"/>
      <c r="AA451" s="80"/>
      <c r="AB451" s="80"/>
      <c r="AC451" s="80"/>
    </row>
    <row r="452" spans="1:29" ht="39.950000000000003" customHeight="1" x14ac:dyDescent="0.25">
      <c r="A452" s="80"/>
      <c r="B452" s="88"/>
      <c r="C452" s="80"/>
      <c r="D452" s="80"/>
      <c r="E452" s="83"/>
      <c r="F452" s="83"/>
      <c r="G452" s="43"/>
      <c r="H452" s="80"/>
      <c r="I452" s="49"/>
      <c r="J452" s="83"/>
      <c r="K452" s="84"/>
      <c r="L452" s="80"/>
      <c r="M452" s="80"/>
      <c r="N452" s="80"/>
      <c r="O452" s="80"/>
      <c r="P452" s="80"/>
      <c r="Q452" s="80"/>
      <c r="R452" s="62"/>
      <c r="S452" s="73"/>
      <c r="T452" s="83"/>
      <c r="U452" s="93"/>
      <c r="V452" s="103"/>
      <c r="W452" s="100"/>
      <c r="X452" s="90"/>
      <c r="Y452" s="91"/>
      <c r="Z452" s="92"/>
      <c r="AA452" s="80"/>
      <c r="AB452" s="80"/>
      <c r="AC452" s="80"/>
    </row>
    <row r="453" spans="1:29" ht="39.950000000000003" customHeight="1" x14ac:dyDescent="0.25">
      <c r="A453" s="80"/>
      <c r="B453" s="88"/>
      <c r="C453" s="80"/>
      <c r="D453" s="80"/>
      <c r="E453" s="83"/>
      <c r="F453" s="83"/>
      <c r="G453" s="43"/>
      <c r="H453" s="80"/>
      <c r="I453" s="49"/>
      <c r="J453" s="83"/>
      <c r="K453" s="84"/>
      <c r="L453" s="80"/>
      <c r="M453" s="80"/>
      <c r="N453" s="80"/>
      <c r="O453" s="80"/>
      <c r="P453" s="80"/>
      <c r="Q453" s="80"/>
      <c r="R453" s="62"/>
      <c r="S453" s="73"/>
      <c r="T453" s="83"/>
      <c r="U453" s="93"/>
      <c r="V453" s="103"/>
      <c r="W453" s="100"/>
      <c r="X453" s="90"/>
      <c r="Y453" s="91"/>
      <c r="Z453" s="92"/>
      <c r="AA453" s="80"/>
      <c r="AB453" s="80"/>
      <c r="AC453" s="80"/>
    </row>
    <row r="454" spans="1:29" ht="39.950000000000003" customHeight="1" x14ac:dyDescent="0.25">
      <c r="A454" s="80"/>
      <c r="B454" s="88"/>
      <c r="C454" s="80"/>
      <c r="D454" s="80"/>
      <c r="E454" s="83"/>
      <c r="F454" s="83"/>
      <c r="G454" s="43"/>
      <c r="H454" s="80"/>
      <c r="I454" s="49"/>
      <c r="J454" s="83"/>
      <c r="K454" s="84"/>
      <c r="L454" s="80"/>
      <c r="M454" s="80"/>
      <c r="N454" s="80"/>
      <c r="O454" s="80"/>
      <c r="P454" s="80"/>
      <c r="Q454" s="80"/>
      <c r="R454" s="62"/>
      <c r="S454" s="73"/>
      <c r="T454" s="83"/>
      <c r="U454" s="93"/>
      <c r="V454" s="103"/>
      <c r="W454" s="100"/>
      <c r="X454" s="90"/>
      <c r="Y454" s="91"/>
      <c r="Z454" s="92"/>
      <c r="AA454" s="80"/>
      <c r="AB454" s="80"/>
      <c r="AC454" s="80"/>
    </row>
    <row r="455" spans="1:29" ht="39.950000000000003" customHeight="1" x14ac:dyDescent="0.25">
      <c r="A455" s="80"/>
      <c r="B455" s="88"/>
      <c r="C455" s="80"/>
      <c r="D455" s="80"/>
      <c r="E455" s="83"/>
      <c r="F455" s="83"/>
      <c r="G455" s="43"/>
      <c r="H455" s="80"/>
      <c r="I455" s="49"/>
      <c r="J455" s="83"/>
      <c r="K455" s="84"/>
      <c r="L455" s="80"/>
      <c r="M455" s="80"/>
      <c r="N455" s="80"/>
      <c r="O455" s="80"/>
      <c r="P455" s="80"/>
      <c r="Q455" s="80"/>
      <c r="R455" s="62"/>
      <c r="S455" s="73"/>
      <c r="T455" s="83"/>
      <c r="U455" s="93"/>
      <c r="V455" s="103"/>
      <c r="W455" s="100"/>
      <c r="X455" s="90"/>
      <c r="Y455" s="91"/>
      <c r="Z455" s="92"/>
      <c r="AA455" s="80"/>
      <c r="AB455" s="80"/>
      <c r="AC455" s="80"/>
    </row>
    <row r="456" spans="1:29" ht="39.950000000000003" customHeight="1" x14ac:dyDescent="0.25">
      <c r="A456" s="80"/>
      <c r="B456" s="88"/>
      <c r="C456" s="80"/>
      <c r="D456" s="80"/>
      <c r="E456" s="83"/>
      <c r="F456" s="83"/>
      <c r="G456" s="43"/>
      <c r="H456" s="80"/>
      <c r="I456" s="49"/>
      <c r="J456" s="83"/>
      <c r="K456" s="84"/>
      <c r="L456" s="80"/>
      <c r="M456" s="80"/>
      <c r="N456" s="80"/>
      <c r="O456" s="80"/>
      <c r="P456" s="80"/>
      <c r="Q456" s="80"/>
      <c r="R456" s="62"/>
      <c r="S456" s="73"/>
      <c r="T456" s="83"/>
      <c r="U456" s="93"/>
      <c r="V456" s="103"/>
      <c r="W456" s="100"/>
      <c r="X456" s="90"/>
      <c r="Y456" s="91"/>
      <c r="Z456" s="92"/>
      <c r="AA456" s="80"/>
      <c r="AB456" s="80"/>
      <c r="AC456" s="80"/>
    </row>
    <row r="457" spans="1:29" ht="39.950000000000003" customHeight="1" x14ac:dyDescent="0.25">
      <c r="A457" s="80"/>
      <c r="B457" s="88"/>
      <c r="C457" s="80"/>
      <c r="D457" s="80"/>
      <c r="E457" s="83"/>
      <c r="F457" s="83"/>
      <c r="G457" s="43"/>
      <c r="H457" s="80"/>
      <c r="I457" s="49"/>
      <c r="J457" s="83"/>
      <c r="K457" s="84"/>
      <c r="L457" s="80"/>
      <c r="M457" s="80"/>
      <c r="N457" s="80"/>
      <c r="O457" s="80"/>
      <c r="P457" s="80"/>
      <c r="Q457" s="80"/>
      <c r="R457" s="62"/>
      <c r="S457" s="73"/>
      <c r="T457" s="83"/>
      <c r="U457" s="93"/>
      <c r="V457" s="103"/>
      <c r="W457" s="100"/>
      <c r="X457" s="90"/>
      <c r="Y457" s="91"/>
      <c r="Z457" s="92"/>
      <c r="AA457" s="80"/>
      <c r="AB457" s="80"/>
      <c r="AC457" s="80"/>
    </row>
    <row r="458" spans="1:29" ht="39.950000000000003" customHeight="1" x14ac:dyDescent="0.25">
      <c r="A458" s="80"/>
      <c r="B458" s="88"/>
      <c r="C458" s="80"/>
      <c r="D458" s="80"/>
      <c r="E458" s="83"/>
      <c r="F458" s="83"/>
      <c r="G458" s="43"/>
      <c r="H458" s="80"/>
      <c r="I458" s="49"/>
      <c r="J458" s="83"/>
      <c r="K458" s="84"/>
      <c r="L458" s="80"/>
      <c r="M458" s="80"/>
      <c r="N458" s="80"/>
      <c r="O458" s="80"/>
      <c r="P458" s="80"/>
      <c r="Q458" s="80"/>
      <c r="R458" s="62"/>
      <c r="S458" s="73"/>
      <c r="T458" s="83"/>
      <c r="U458" s="93"/>
      <c r="V458" s="103"/>
      <c r="W458" s="100"/>
      <c r="X458" s="90"/>
      <c r="Y458" s="91"/>
      <c r="Z458" s="92"/>
      <c r="AA458" s="80"/>
      <c r="AB458" s="80"/>
      <c r="AC458" s="80"/>
    </row>
    <row r="459" spans="1:29" ht="39.950000000000003" customHeight="1" x14ac:dyDescent="0.25">
      <c r="A459" s="80"/>
      <c r="B459" s="88"/>
      <c r="C459" s="80"/>
      <c r="D459" s="80"/>
      <c r="E459" s="83"/>
      <c r="F459" s="83"/>
      <c r="G459" s="43"/>
      <c r="H459" s="80"/>
      <c r="I459" s="49"/>
      <c r="J459" s="83"/>
      <c r="K459" s="84"/>
      <c r="L459" s="80"/>
      <c r="M459" s="80"/>
      <c r="N459" s="80"/>
      <c r="O459" s="80"/>
      <c r="P459" s="80"/>
      <c r="Q459" s="80"/>
      <c r="R459" s="62"/>
      <c r="S459" s="73"/>
      <c r="T459" s="83"/>
      <c r="U459" s="93"/>
      <c r="V459" s="103"/>
      <c r="W459" s="100"/>
      <c r="X459" s="90"/>
      <c r="Y459" s="91"/>
      <c r="Z459" s="92"/>
      <c r="AA459" s="80"/>
      <c r="AB459" s="80"/>
      <c r="AC459" s="80"/>
    </row>
    <row r="460" spans="1:29" ht="39.950000000000003" customHeight="1" x14ac:dyDescent="0.25">
      <c r="A460" s="80"/>
      <c r="B460" s="88"/>
      <c r="C460" s="80"/>
      <c r="D460" s="80"/>
      <c r="E460" s="83"/>
      <c r="F460" s="83"/>
      <c r="G460" s="43"/>
      <c r="H460" s="80"/>
      <c r="I460" s="49"/>
      <c r="J460" s="83"/>
      <c r="K460" s="84"/>
      <c r="L460" s="80"/>
      <c r="M460" s="80"/>
      <c r="N460" s="80"/>
      <c r="O460" s="80"/>
      <c r="P460" s="80"/>
      <c r="Q460" s="80"/>
      <c r="R460" s="62"/>
      <c r="S460" s="73"/>
      <c r="T460" s="83"/>
      <c r="U460" s="93"/>
      <c r="V460" s="103"/>
      <c r="W460" s="100"/>
      <c r="X460" s="90"/>
      <c r="Y460" s="91"/>
      <c r="Z460" s="92"/>
      <c r="AA460" s="80"/>
      <c r="AB460" s="80"/>
      <c r="AC460" s="80"/>
    </row>
    <row r="461" spans="1:29" ht="39.950000000000003" customHeight="1" x14ac:dyDescent="0.25">
      <c r="A461" s="80"/>
      <c r="B461" s="88"/>
      <c r="C461" s="80"/>
      <c r="D461" s="80"/>
      <c r="E461" s="83"/>
      <c r="F461" s="83"/>
      <c r="G461" s="43"/>
      <c r="H461" s="80"/>
      <c r="I461" s="49"/>
      <c r="J461" s="83"/>
      <c r="K461" s="84"/>
      <c r="L461" s="80"/>
      <c r="M461" s="80"/>
      <c r="N461" s="80"/>
      <c r="O461" s="80"/>
      <c r="P461" s="80"/>
      <c r="Q461" s="80"/>
      <c r="R461" s="62"/>
      <c r="S461" s="73"/>
      <c r="T461" s="83"/>
      <c r="U461" s="93"/>
      <c r="V461" s="103"/>
      <c r="W461" s="100"/>
      <c r="X461" s="90"/>
      <c r="Y461" s="91"/>
      <c r="Z461" s="92"/>
      <c r="AA461" s="80"/>
      <c r="AB461" s="80"/>
      <c r="AC461" s="80"/>
    </row>
    <row r="462" spans="1:29" ht="39.950000000000003" customHeight="1" x14ac:dyDescent="0.25">
      <c r="A462" s="80"/>
      <c r="B462" s="88"/>
      <c r="C462" s="80"/>
      <c r="D462" s="80"/>
      <c r="E462" s="83"/>
      <c r="F462" s="83"/>
      <c r="G462" s="43"/>
      <c r="H462" s="80"/>
      <c r="I462" s="49"/>
      <c r="J462" s="83"/>
      <c r="K462" s="84"/>
      <c r="L462" s="80"/>
      <c r="M462" s="80"/>
      <c r="N462" s="80"/>
      <c r="O462" s="80"/>
      <c r="P462" s="80"/>
      <c r="Q462" s="80"/>
      <c r="R462" s="62"/>
      <c r="S462" s="73"/>
      <c r="T462" s="83"/>
      <c r="U462" s="93"/>
      <c r="V462" s="103"/>
      <c r="W462" s="100"/>
      <c r="X462" s="90"/>
      <c r="Y462" s="91"/>
      <c r="Z462" s="92"/>
      <c r="AA462" s="80"/>
      <c r="AB462" s="80"/>
      <c r="AC462" s="80"/>
    </row>
    <row r="463" spans="1:29" ht="39.950000000000003" customHeight="1" x14ac:dyDescent="0.25">
      <c r="A463" s="80"/>
      <c r="B463" s="88"/>
      <c r="C463" s="80"/>
      <c r="D463" s="80"/>
      <c r="E463" s="83"/>
      <c r="F463" s="83"/>
      <c r="G463" s="43"/>
      <c r="H463" s="80"/>
      <c r="I463" s="49"/>
      <c r="J463" s="83"/>
      <c r="K463" s="84"/>
      <c r="L463" s="80"/>
      <c r="M463" s="80"/>
      <c r="N463" s="80"/>
      <c r="O463" s="80"/>
      <c r="P463" s="80"/>
      <c r="Q463" s="80"/>
      <c r="R463" s="62"/>
      <c r="S463" s="73"/>
      <c r="T463" s="83"/>
      <c r="U463" s="93"/>
      <c r="V463" s="103"/>
      <c r="W463" s="100"/>
      <c r="X463" s="90"/>
      <c r="Y463" s="91"/>
      <c r="Z463" s="92"/>
      <c r="AA463" s="80"/>
      <c r="AB463" s="80"/>
      <c r="AC463" s="80"/>
    </row>
    <row r="464" spans="1:29" ht="39.950000000000003" customHeight="1" x14ac:dyDescent="0.25">
      <c r="A464" s="80"/>
      <c r="B464" s="88"/>
      <c r="C464" s="80"/>
      <c r="D464" s="80"/>
      <c r="E464" s="83"/>
      <c r="F464" s="83"/>
      <c r="G464" s="43"/>
      <c r="H464" s="80"/>
      <c r="I464" s="49"/>
      <c r="J464" s="83"/>
      <c r="K464" s="84"/>
      <c r="L464" s="80"/>
      <c r="M464" s="80"/>
      <c r="N464" s="80"/>
      <c r="O464" s="80"/>
      <c r="P464" s="80"/>
      <c r="Q464" s="80"/>
      <c r="R464" s="62"/>
      <c r="S464" s="73"/>
      <c r="T464" s="83"/>
      <c r="U464" s="93"/>
      <c r="V464" s="103"/>
      <c r="W464" s="100"/>
      <c r="X464" s="90"/>
      <c r="Y464" s="91"/>
      <c r="Z464" s="92"/>
      <c r="AA464" s="80"/>
      <c r="AB464" s="80"/>
      <c r="AC464" s="80"/>
    </row>
    <row r="465" spans="1:29" ht="39.950000000000003" customHeight="1" x14ac:dyDescent="0.25">
      <c r="A465" s="80"/>
      <c r="B465" s="88"/>
      <c r="C465" s="80"/>
      <c r="D465" s="80"/>
      <c r="E465" s="83"/>
      <c r="F465" s="83"/>
      <c r="G465" s="43"/>
      <c r="H465" s="80"/>
      <c r="I465" s="49"/>
      <c r="J465" s="83"/>
      <c r="K465" s="84"/>
      <c r="L465" s="80"/>
      <c r="M465" s="80"/>
      <c r="N465" s="80"/>
      <c r="O465" s="80"/>
      <c r="P465" s="80"/>
      <c r="Q465" s="80"/>
      <c r="R465" s="62"/>
      <c r="S465" s="73"/>
      <c r="T465" s="83"/>
      <c r="U465" s="93"/>
      <c r="V465" s="103"/>
      <c r="W465" s="100"/>
      <c r="X465" s="90"/>
      <c r="Y465" s="91"/>
      <c r="Z465" s="92"/>
      <c r="AA465" s="80"/>
      <c r="AB465" s="80"/>
      <c r="AC465" s="80"/>
    </row>
    <row r="466" spans="1:29" ht="39.950000000000003" customHeight="1" x14ac:dyDescent="0.25">
      <c r="A466" s="80"/>
      <c r="B466" s="88"/>
      <c r="C466" s="80"/>
      <c r="D466" s="80"/>
      <c r="E466" s="83"/>
      <c r="F466" s="83"/>
      <c r="G466" s="43"/>
      <c r="H466" s="80"/>
      <c r="I466" s="49"/>
      <c r="J466" s="83"/>
      <c r="K466" s="84"/>
      <c r="L466" s="80"/>
      <c r="M466" s="80"/>
      <c r="N466" s="80"/>
      <c r="O466" s="80"/>
      <c r="P466" s="80"/>
      <c r="Q466" s="80"/>
      <c r="R466" s="62"/>
      <c r="S466" s="73"/>
      <c r="T466" s="83"/>
      <c r="U466" s="93"/>
      <c r="V466" s="103"/>
      <c r="W466" s="100"/>
      <c r="X466" s="90"/>
      <c r="Y466" s="91"/>
      <c r="Z466" s="92"/>
      <c r="AA466" s="80"/>
      <c r="AB466" s="80"/>
      <c r="AC466" s="80"/>
    </row>
    <row r="467" spans="1:29" ht="39.950000000000003" customHeight="1" x14ac:dyDescent="0.25">
      <c r="A467" s="80"/>
      <c r="B467" s="88"/>
      <c r="C467" s="80"/>
      <c r="D467" s="80"/>
      <c r="E467" s="83"/>
      <c r="F467" s="83"/>
      <c r="G467" s="43"/>
      <c r="H467" s="80"/>
      <c r="I467" s="49"/>
      <c r="J467" s="83"/>
      <c r="K467" s="84"/>
      <c r="L467" s="80"/>
      <c r="M467" s="80"/>
      <c r="N467" s="80"/>
      <c r="O467" s="80"/>
      <c r="P467" s="80"/>
      <c r="Q467" s="80"/>
      <c r="R467" s="62"/>
      <c r="S467" s="73"/>
      <c r="T467" s="83"/>
      <c r="U467" s="93"/>
      <c r="V467" s="103"/>
      <c r="W467" s="100"/>
      <c r="X467" s="90"/>
      <c r="Y467" s="91"/>
      <c r="Z467" s="92"/>
      <c r="AA467" s="80"/>
      <c r="AB467" s="80"/>
      <c r="AC467" s="80"/>
    </row>
    <row r="468" spans="1:29" ht="39.950000000000003" customHeight="1" x14ac:dyDescent="0.25">
      <c r="A468" s="80"/>
      <c r="B468" s="88"/>
      <c r="C468" s="80"/>
      <c r="D468" s="80"/>
      <c r="E468" s="83"/>
      <c r="F468" s="83"/>
      <c r="G468" s="43"/>
      <c r="H468" s="80"/>
      <c r="I468" s="49"/>
      <c r="J468" s="83"/>
      <c r="K468" s="84"/>
      <c r="L468" s="80"/>
      <c r="M468" s="80"/>
      <c r="N468" s="80"/>
      <c r="O468" s="80"/>
      <c r="P468" s="80"/>
      <c r="Q468" s="80"/>
      <c r="R468" s="62"/>
      <c r="S468" s="73"/>
      <c r="T468" s="83"/>
      <c r="U468" s="93"/>
      <c r="V468" s="103"/>
      <c r="W468" s="100"/>
      <c r="X468" s="90"/>
      <c r="Y468" s="91"/>
      <c r="Z468" s="92"/>
      <c r="AA468" s="80"/>
      <c r="AB468" s="80"/>
      <c r="AC468" s="80"/>
    </row>
    <row r="469" spans="1:29" ht="39.950000000000003" customHeight="1" x14ac:dyDescent="0.25">
      <c r="A469" s="80"/>
      <c r="B469" s="88"/>
      <c r="C469" s="80"/>
      <c r="D469" s="80"/>
      <c r="E469" s="83"/>
      <c r="F469" s="83"/>
      <c r="G469" s="43"/>
      <c r="H469" s="80"/>
      <c r="I469" s="49"/>
      <c r="J469" s="83"/>
      <c r="K469" s="84"/>
      <c r="L469" s="80"/>
      <c r="M469" s="80"/>
      <c r="N469" s="80"/>
      <c r="O469" s="80"/>
      <c r="P469" s="80"/>
      <c r="Q469" s="80"/>
      <c r="R469" s="62"/>
      <c r="S469" s="73"/>
      <c r="T469" s="83"/>
      <c r="U469" s="93"/>
      <c r="V469" s="103"/>
      <c r="W469" s="100"/>
      <c r="X469" s="90"/>
      <c r="Y469" s="91"/>
      <c r="Z469" s="92"/>
      <c r="AA469" s="80"/>
      <c r="AB469" s="80"/>
      <c r="AC469" s="80"/>
    </row>
    <row r="470" spans="1:29" ht="39.950000000000003" customHeight="1" x14ac:dyDescent="0.25">
      <c r="A470" s="80"/>
      <c r="B470" s="88"/>
      <c r="C470" s="80"/>
      <c r="D470" s="80"/>
      <c r="E470" s="83"/>
      <c r="F470" s="83"/>
      <c r="G470" s="43"/>
      <c r="H470" s="80"/>
      <c r="I470" s="49"/>
      <c r="J470" s="83"/>
      <c r="K470" s="84"/>
      <c r="L470" s="80"/>
      <c r="M470" s="80"/>
      <c r="N470" s="80"/>
      <c r="O470" s="80"/>
      <c r="P470" s="80"/>
      <c r="Q470" s="80"/>
      <c r="R470" s="62"/>
      <c r="S470" s="73"/>
      <c r="T470" s="83"/>
      <c r="U470" s="93"/>
      <c r="V470" s="103"/>
      <c r="W470" s="100"/>
      <c r="X470" s="90"/>
      <c r="Y470" s="91"/>
      <c r="Z470" s="92"/>
      <c r="AA470" s="80"/>
      <c r="AB470" s="80"/>
      <c r="AC470" s="80"/>
    </row>
    <row r="471" spans="1:29" ht="39.950000000000003" customHeight="1" x14ac:dyDescent="0.25">
      <c r="A471" s="80"/>
      <c r="B471" s="88"/>
      <c r="C471" s="80"/>
      <c r="D471" s="80"/>
      <c r="E471" s="83"/>
      <c r="F471" s="83"/>
      <c r="G471" s="43"/>
      <c r="H471" s="80"/>
      <c r="I471" s="49"/>
      <c r="J471" s="83"/>
      <c r="K471" s="84"/>
      <c r="L471" s="80"/>
      <c r="M471" s="80"/>
      <c r="N471" s="80"/>
      <c r="O471" s="80"/>
      <c r="P471" s="80"/>
      <c r="Q471" s="80"/>
      <c r="R471" s="62"/>
      <c r="S471" s="73"/>
      <c r="T471" s="83"/>
      <c r="U471" s="93"/>
      <c r="V471" s="103"/>
      <c r="W471" s="100"/>
      <c r="X471" s="90"/>
      <c r="Y471" s="91"/>
      <c r="Z471" s="92"/>
      <c r="AA471" s="80"/>
      <c r="AB471" s="80"/>
      <c r="AC471" s="80"/>
    </row>
    <row r="472" spans="1:29" ht="39.950000000000003" customHeight="1" x14ac:dyDescent="0.25">
      <c r="A472" s="80"/>
      <c r="B472" s="88"/>
      <c r="C472" s="80"/>
      <c r="D472" s="80"/>
      <c r="E472" s="83"/>
      <c r="F472" s="83"/>
      <c r="G472" s="43"/>
      <c r="H472" s="80"/>
      <c r="I472" s="49"/>
      <c r="J472" s="83"/>
      <c r="K472" s="84"/>
      <c r="L472" s="80"/>
      <c r="M472" s="80"/>
      <c r="N472" s="80"/>
      <c r="O472" s="80"/>
      <c r="P472" s="80"/>
      <c r="Q472" s="80"/>
      <c r="R472" s="62"/>
      <c r="S472" s="73"/>
      <c r="T472" s="83"/>
      <c r="U472" s="93"/>
      <c r="V472" s="103"/>
      <c r="W472" s="100"/>
      <c r="X472" s="90"/>
      <c r="Y472" s="91"/>
      <c r="Z472" s="92"/>
      <c r="AA472" s="80"/>
      <c r="AB472" s="80"/>
      <c r="AC472" s="80"/>
    </row>
    <row r="473" spans="1:29" ht="39.950000000000003" customHeight="1" x14ac:dyDescent="0.25">
      <c r="A473" s="80"/>
      <c r="B473" s="88"/>
      <c r="C473" s="80"/>
      <c r="D473" s="80"/>
      <c r="E473" s="83"/>
      <c r="F473" s="83"/>
      <c r="G473" s="43"/>
      <c r="H473" s="80"/>
      <c r="I473" s="49"/>
      <c r="J473" s="83"/>
      <c r="K473" s="84"/>
      <c r="L473" s="80"/>
      <c r="M473" s="80"/>
      <c r="N473" s="80"/>
      <c r="O473" s="80"/>
      <c r="P473" s="80"/>
      <c r="Q473" s="80"/>
      <c r="R473" s="62"/>
      <c r="S473" s="73"/>
      <c r="T473" s="83"/>
      <c r="U473" s="93"/>
      <c r="V473" s="103"/>
      <c r="W473" s="100"/>
      <c r="X473" s="90"/>
      <c r="Y473" s="91"/>
      <c r="Z473" s="92"/>
      <c r="AA473" s="80"/>
      <c r="AB473" s="80"/>
      <c r="AC473" s="80"/>
    </row>
    <row r="474" spans="1:29" ht="39.950000000000003" customHeight="1" x14ac:dyDescent="0.25">
      <c r="A474" s="80"/>
      <c r="B474" s="88"/>
      <c r="C474" s="80"/>
      <c r="D474" s="80"/>
      <c r="E474" s="83"/>
      <c r="F474" s="83"/>
      <c r="G474" s="43"/>
      <c r="H474" s="80"/>
      <c r="I474" s="49"/>
      <c r="J474" s="83"/>
      <c r="K474" s="84"/>
      <c r="L474" s="80"/>
      <c r="M474" s="80"/>
      <c r="N474" s="80"/>
      <c r="O474" s="80"/>
      <c r="P474" s="80"/>
      <c r="Q474" s="80"/>
      <c r="R474" s="62"/>
      <c r="S474" s="73"/>
      <c r="T474" s="83"/>
      <c r="U474" s="93"/>
      <c r="V474" s="103"/>
      <c r="W474" s="100"/>
      <c r="X474" s="90"/>
      <c r="Y474" s="91"/>
      <c r="Z474" s="92"/>
      <c r="AA474" s="80"/>
      <c r="AB474" s="80"/>
      <c r="AC474" s="80"/>
    </row>
    <row r="475" spans="1:29" ht="39.950000000000003" customHeight="1" x14ac:dyDescent="0.25">
      <c r="A475" s="80"/>
      <c r="B475" s="88"/>
      <c r="C475" s="80"/>
      <c r="D475" s="80"/>
      <c r="E475" s="83"/>
      <c r="F475" s="83"/>
      <c r="G475" s="43"/>
      <c r="H475" s="80"/>
      <c r="I475" s="49"/>
      <c r="J475" s="83"/>
      <c r="K475" s="84"/>
      <c r="L475" s="80"/>
      <c r="M475" s="80"/>
      <c r="N475" s="80"/>
      <c r="O475" s="80"/>
      <c r="P475" s="80"/>
      <c r="Q475" s="80"/>
      <c r="R475" s="62"/>
      <c r="S475" s="73"/>
      <c r="T475" s="83"/>
      <c r="U475" s="93"/>
      <c r="V475" s="103"/>
      <c r="W475" s="100"/>
      <c r="X475" s="90"/>
      <c r="Y475" s="91"/>
      <c r="Z475" s="92"/>
      <c r="AA475" s="80"/>
      <c r="AB475" s="80"/>
      <c r="AC475" s="80"/>
    </row>
    <row r="476" spans="1:29" ht="39.950000000000003" customHeight="1" x14ac:dyDescent="0.25">
      <c r="A476" s="80"/>
      <c r="B476" s="88"/>
      <c r="C476" s="80"/>
      <c r="D476" s="80"/>
      <c r="E476" s="83"/>
      <c r="F476" s="83"/>
      <c r="G476" s="43"/>
      <c r="H476" s="80"/>
      <c r="I476" s="49"/>
      <c r="J476" s="83"/>
      <c r="K476" s="84"/>
      <c r="L476" s="80"/>
      <c r="M476" s="80"/>
      <c r="N476" s="80"/>
      <c r="O476" s="80"/>
      <c r="P476" s="80"/>
      <c r="Q476" s="80"/>
      <c r="R476" s="62"/>
      <c r="S476" s="73"/>
      <c r="T476" s="83"/>
      <c r="U476" s="93"/>
      <c r="V476" s="103"/>
      <c r="W476" s="100"/>
      <c r="X476" s="90"/>
      <c r="Y476" s="91"/>
      <c r="Z476" s="92"/>
      <c r="AA476" s="80"/>
      <c r="AB476" s="80"/>
      <c r="AC476" s="80"/>
    </row>
    <row r="477" spans="1:29" ht="39.950000000000003" customHeight="1" x14ac:dyDescent="0.25">
      <c r="A477" s="80"/>
      <c r="B477" s="88"/>
      <c r="C477" s="80"/>
      <c r="D477" s="80"/>
      <c r="E477" s="83"/>
      <c r="F477" s="83"/>
      <c r="G477" s="43"/>
      <c r="H477" s="80"/>
      <c r="I477" s="49"/>
      <c r="J477" s="83"/>
      <c r="K477" s="84"/>
      <c r="L477" s="80"/>
      <c r="M477" s="80"/>
      <c r="N477" s="80"/>
      <c r="O477" s="80"/>
      <c r="P477" s="80"/>
      <c r="Q477" s="80"/>
      <c r="R477" s="62"/>
      <c r="S477" s="73"/>
      <c r="T477" s="83"/>
      <c r="U477" s="93"/>
      <c r="V477" s="103"/>
      <c r="W477" s="100"/>
      <c r="X477" s="90"/>
      <c r="Y477" s="91"/>
      <c r="Z477" s="92"/>
      <c r="AA477" s="80"/>
      <c r="AB477" s="80"/>
      <c r="AC477" s="80"/>
    </row>
    <row r="478" spans="1:29" ht="39.950000000000003" customHeight="1" x14ac:dyDescent="0.25">
      <c r="A478" s="80"/>
      <c r="B478" s="88"/>
      <c r="C478" s="80"/>
      <c r="D478" s="80"/>
      <c r="E478" s="83"/>
      <c r="F478" s="83"/>
      <c r="G478" s="43"/>
      <c r="H478" s="80"/>
      <c r="I478" s="49"/>
      <c r="J478" s="83"/>
      <c r="K478" s="84"/>
      <c r="L478" s="80"/>
      <c r="M478" s="80"/>
      <c r="N478" s="80"/>
      <c r="O478" s="80"/>
      <c r="P478" s="80"/>
      <c r="Q478" s="80"/>
      <c r="R478" s="62"/>
      <c r="S478" s="73"/>
      <c r="T478" s="83"/>
      <c r="U478" s="93"/>
      <c r="V478" s="103"/>
      <c r="W478" s="100"/>
      <c r="X478" s="90"/>
      <c r="Y478" s="91"/>
      <c r="Z478" s="92"/>
      <c r="AA478" s="80"/>
      <c r="AB478" s="80"/>
      <c r="AC478" s="80"/>
    </row>
    <row r="479" spans="1:29" ht="39.950000000000003" customHeight="1" x14ac:dyDescent="0.25">
      <c r="A479" s="80"/>
      <c r="B479" s="88"/>
      <c r="C479" s="80"/>
      <c r="D479" s="80"/>
      <c r="E479" s="83"/>
      <c r="F479" s="83"/>
      <c r="G479" s="43"/>
      <c r="H479" s="80"/>
      <c r="I479" s="49"/>
      <c r="J479" s="83"/>
      <c r="K479" s="84"/>
      <c r="L479" s="80"/>
      <c r="M479" s="80"/>
      <c r="N479" s="80"/>
      <c r="O479" s="80"/>
      <c r="P479" s="80"/>
      <c r="Q479" s="80"/>
      <c r="R479" s="62"/>
      <c r="S479" s="73"/>
      <c r="T479" s="83"/>
      <c r="U479" s="93"/>
      <c r="V479" s="103"/>
      <c r="W479" s="100"/>
      <c r="X479" s="90"/>
      <c r="Y479" s="91"/>
      <c r="Z479" s="92"/>
      <c r="AA479" s="80"/>
      <c r="AB479" s="80"/>
      <c r="AC479" s="80"/>
    </row>
    <row r="480" spans="1:29" ht="39.950000000000003" customHeight="1" x14ac:dyDescent="0.25">
      <c r="A480" s="80"/>
      <c r="B480" s="88"/>
      <c r="C480" s="80"/>
      <c r="D480" s="80"/>
      <c r="E480" s="83"/>
      <c r="F480" s="83"/>
      <c r="G480" s="43"/>
      <c r="H480" s="80"/>
      <c r="I480" s="49"/>
      <c r="J480" s="83"/>
      <c r="K480" s="84"/>
      <c r="L480" s="80"/>
      <c r="M480" s="80"/>
      <c r="N480" s="80"/>
      <c r="O480" s="80"/>
      <c r="P480" s="80"/>
      <c r="Q480" s="80"/>
      <c r="R480" s="62"/>
      <c r="S480" s="73"/>
      <c r="T480" s="83"/>
      <c r="U480" s="93"/>
      <c r="V480" s="103"/>
      <c r="W480" s="100"/>
      <c r="X480" s="90"/>
      <c r="Y480" s="91"/>
      <c r="Z480" s="92"/>
      <c r="AA480" s="80"/>
      <c r="AB480" s="80"/>
      <c r="AC480" s="80"/>
    </row>
    <row r="481" spans="1:29" ht="39.950000000000003" customHeight="1" x14ac:dyDescent="0.25">
      <c r="A481" s="80"/>
      <c r="B481" s="88"/>
      <c r="C481" s="80"/>
      <c r="D481" s="80"/>
      <c r="E481" s="83"/>
      <c r="F481" s="83"/>
      <c r="G481" s="43"/>
      <c r="H481" s="80"/>
      <c r="I481" s="49"/>
      <c r="J481" s="83"/>
      <c r="K481" s="84"/>
      <c r="L481" s="80"/>
      <c r="M481" s="80"/>
      <c r="N481" s="80"/>
      <c r="O481" s="80"/>
      <c r="P481" s="80"/>
      <c r="Q481" s="80"/>
      <c r="R481" s="62"/>
      <c r="S481" s="73"/>
      <c r="T481" s="83"/>
      <c r="U481" s="93"/>
      <c r="V481" s="103"/>
      <c r="W481" s="100"/>
      <c r="X481" s="90"/>
      <c r="Y481" s="91"/>
      <c r="Z481" s="92"/>
      <c r="AA481" s="80"/>
      <c r="AB481" s="80"/>
      <c r="AC481" s="80"/>
    </row>
    <row r="482" spans="1:29" ht="39.950000000000003" customHeight="1" x14ac:dyDescent="0.25">
      <c r="A482" s="80"/>
      <c r="B482" s="88"/>
      <c r="C482" s="80"/>
      <c r="D482" s="80"/>
      <c r="E482" s="83"/>
      <c r="F482" s="83"/>
      <c r="G482" s="43"/>
      <c r="H482" s="80"/>
      <c r="I482" s="49"/>
      <c r="J482" s="83"/>
      <c r="K482" s="84"/>
      <c r="L482" s="80"/>
      <c r="M482" s="80"/>
      <c r="N482" s="80"/>
      <c r="O482" s="80"/>
      <c r="P482" s="80"/>
      <c r="Q482" s="80"/>
      <c r="R482" s="62"/>
      <c r="S482" s="73"/>
      <c r="T482" s="83"/>
      <c r="U482" s="93"/>
      <c r="V482" s="103"/>
      <c r="W482" s="100"/>
      <c r="X482" s="90"/>
      <c r="Y482" s="91"/>
      <c r="Z482" s="92"/>
      <c r="AA482" s="80"/>
      <c r="AB482" s="80"/>
      <c r="AC482" s="80"/>
    </row>
    <row r="483" spans="1:29" ht="39.950000000000003" customHeight="1" x14ac:dyDescent="0.25">
      <c r="A483" s="80"/>
      <c r="B483" s="88"/>
      <c r="C483" s="80"/>
      <c r="D483" s="80"/>
      <c r="E483" s="83"/>
      <c r="F483" s="83"/>
      <c r="G483" s="43"/>
      <c r="H483" s="80"/>
      <c r="I483" s="49"/>
      <c r="J483" s="83"/>
      <c r="K483" s="84"/>
      <c r="L483" s="80"/>
      <c r="M483" s="80"/>
      <c r="N483" s="80"/>
      <c r="O483" s="80"/>
      <c r="P483" s="80"/>
      <c r="Q483" s="80"/>
      <c r="R483" s="62"/>
      <c r="S483" s="73"/>
      <c r="T483" s="83"/>
      <c r="U483" s="93"/>
      <c r="V483" s="103"/>
      <c r="W483" s="100"/>
      <c r="X483" s="90"/>
      <c r="Y483" s="91"/>
      <c r="Z483" s="92"/>
      <c r="AA483" s="80"/>
      <c r="AB483" s="80"/>
      <c r="AC483" s="80"/>
    </row>
    <row r="484" spans="1:29" ht="39.950000000000003" customHeight="1" x14ac:dyDescent="0.25">
      <c r="A484" s="80"/>
      <c r="B484" s="88"/>
      <c r="C484" s="80"/>
      <c r="D484" s="80"/>
      <c r="E484" s="83"/>
      <c r="F484" s="83"/>
      <c r="G484" s="43"/>
      <c r="H484" s="80"/>
      <c r="I484" s="49"/>
      <c r="J484" s="83"/>
      <c r="K484" s="84"/>
      <c r="L484" s="80"/>
      <c r="M484" s="80"/>
      <c r="N484" s="80"/>
      <c r="O484" s="80"/>
      <c r="P484" s="80"/>
      <c r="Q484" s="80"/>
      <c r="R484" s="62"/>
      <c r="S484" s="73"/>
      <c r="T484" s="83"/>
      <c r="U484" s="93"/>
      <c r="V484" s="103"/>
      <c r="W484" s="100"/>
      <c r="X484" s="90"/>
      <c r="Y484" s="91"/>
      <c r="Z484" s="92"/>
      <c r="AA484" s="80"/>
      <c r="AB484" s="80"/>
      <c r="AC484" s="80"/>
    </row>
    <row r="485" spans="1:29" ht="39.950000000000003" customHeight="1" x14ac:dyDescent="0.25">
      <c r="A485" s="80"/>
      <c r="B485" s="88"/>
      <c r="C485" s="80"/>
      <c r="D485" s="80"/>
      <c r="E485" s="83"/>
      <c r="F485" s="83"/>
      <c r="G485" s="43"/>
      <c r="H485" s="80"/>
      <c r="I485" s="49"/>
      <c r="J485" s="83"/>
      <c r="K485" s="84"/>
      <c r="L485" s="80"/>
      <c r="M485" s="80"/>
      <c r="N485" s="80"/>
      <c r="O485" s="80"/>
      <c r="P485" s="80"/>
      <c r="Q485" s="80"/>
      <c r="R485" s="62"/>
      <c r="S485" s="73"/>
      <c r="T485" s="83"/>
      <c r="U485" s="93"/>
      <c r="V485" s="103"/>
      <c r="W485" s="100"/>
      <c r="X485" s="90"/>
      <c r="Y485" s="91"/>
      <c r="Z485" s="92"/>
      <c r="AA485" s="80"/>
      <c r="AB485" s="80"/>
      <c r="AC485" s="80"/>
    </row>
    <row r="486" spans="1:29" ht="39.950000000000003" customHeight="1" x14ac:dyDescent="0.25">
      <c r="A486" s="80"/>
      <c r="B486" s="88"/>
      <c r="C486" s="80"/>
      <c r="D486" s="80"/>
      <c r="E486" s="83"/>
      <c r="F486" s="83"/>
      <c r="G486" s="43"/>
      <c r="H486" s="80"/>
      <c r="I486" s="49"/>
      <c r="J486" s="83"/>
      <c r="K486" s="84"/>
      <c r="L486" s="80"/>
      <c r="M486" s="80"/>
      <c r="N486" s="80"/>
      <c r="O486" s="80"/>
      <c r="P486" s="80"/>
      <c r="Q486" s="80"/>
      <c r="R486" s="62"/>
      <c r="S486" s="73"/>
      <c r="T486" s="83"/>
      <c r="U486" s="93"/>
      <c r="V486" s="103"/>
      <c r="W486" s="100"/>
      <c r="X486" s="90"/>
      <c r="Y486" s="91"/>
      <c r="Z486" s="92"/>
      <c r="AA486" s="80"/>
      <c r="AB486" s="80"/>
      <c r="AC486" s="80"/>
    </row>
    <row r="487" spans="1:29" ht="39.950000000000003" customHeight="1" x14ac:dyDescent="0.25">
      <c r="A487" s="80"/>
      <c r="B487" s="88"/>
      <c r="C487" s="80"/>
      <c r="D487" s="80"/>
      <c r="E487" s="83"/>
      <c r="F487" s="83"/>
      <c r="G487" s="43"/>
      <c r="H487" s="80"/>
      <c r="I487" s="49"/>
      <c r="J487" s="83"/>
      <c r="K487" s="84"/>
      <c r="L487" s="80"/>
      <c r="M487" s="80"/>
      <c r="N487" s="80"/>
      <c r="O487" s="80"/>
      <c r="P487" s="80"/>
      <c r="Q487" s="80"/>
      <c r="R487" s="62"/>
      <c r="S487" s="73"/>
      <c r="T487" s="83"/>
      <c r="U487" s="93"/>
      <c r="V487" s="103"/>
      <c r="W487" s="100"/>
      <c r="X487" s="90"/>
      <c r="Y487" s="91"/>
      <c r="Z487" s="92"/>
      <c r="AA487" s="80"/>
      <c r="AB487" s="80"/>
      <c r="AC487" s="80"/>
    </row>
    <row r="488" spans="1:29" ht="39.950000000000003" customHeight="1" x14ac:dyDescent="0.25">
      <c r="A488" s="80"/>
      <c r="B488" s="88"/>
      <c r="C488" s="80"/>
      <c r="D488" s="80"/>
      <c r="E488" s="83"/>
      <c r="F488" s="83"/>
      <c r="G488" s="43"/>
      <c r="H488" s="80"/>
      <c r="I488" s="49"/>
      <c r="J488" s="83"/>
      <c r="K488" s="84"/>
      <c r="L488" s="80"/>
      <c r="M488" s="80"/>
      <c r="N488" s="80"/>
      <c r="O488" s="80"/>
      <c r="P488" s="80"/>
      <c r="Q488" s="80"/>
      <c r="R488" s="62"/>
      <c r="S488" s="73"/>
      <c r="T488" s="83"/>
      <c r="U488" s="93"/>
      <c r="V488" s="103"/>
      <c r="W488" s="100"/>
      <c r="X488" s="90"/>
      <c r="Y488" s="91"/>
      <c r="Z488" s="92"/>
      <c r="AA488" s="80"/>
      <c r="AB488" s="80"/>
      <c r="AC488" s="80"/>
    </row>
    <row r="489" spans="1:29" ht="39.950000000000003" customHeight="1" x14ac:dyDescent="0.25">
      <c r="A489" s="80"/>
      <c r="B489" s="88"/>
      <c r="C489" s="80"/>
      <c r="D489" s="80"/>
      <c r="E489" s="83"/>
      <c r="F489" s="83"/>
      <c r="G489" s="43"/>
      <c r="H489" s="80"/>
      <c r="I489" s="49"/>
      <c r="J489" s="83"/>
      <c r="K489" s="84"/>
      <c r="L489" s="80"/>
      <c r="M489" s="80"/>
      <c r="N489" s="80"/>
      <c r="O489" s="80"/>
      <c r="P489" s="80"/>
      <c r="Q489" s="80"/>
      <c r="R489" s="62"/>
      <c r="S489" s="73"/>
      <c r="T489" s="83"/>
      <c r="U489" s="93"/>
      <c r="V489" s="103"/>
      <c r="W489" s="100"/>
      <c r="X489" s="90"/>
      <c r="Y489" s="91"/>
      <c r="Z489" s="92"/>
      <c r="AA489" s="80"/>
      <c r="AB489" s="80"/>
      <c r="AC489" s="80"/>
    </row>
    <row r="490" spans="1:29" ht="39.950000000000003" customHeight="1" x14ac:dyDescent="0.25">
      <c r="A490" s="80"/>
      <c r="B490" s="88"/>
      <c r="C490" s="80"/>
      <c r="D490" s="80"/>
      <c r="E490" s="83"/>
      <c r="F490" s="83"/>
      <c r="G490" s="43"/>
      <c r="H490" s="80"/>
      <c r="I490" s="49"/>
      <c r="J490" s="83"/>
      <c r="K490" s="84"/>
      <c r="L490" s="80"/>
      <c r="M490" s="80"/>
      <c r="N490" s="80"/>
      <c r="O490" s="80"/>
      <c r="P490" s="80"/>
      <c r="Q490" s="80"/>
      <c r="R490" s="62"/>
      <c r="S490" s="73"/>
      <c r="T490" s="83"/>
      <c r="U490" s="93"/>
      <c r="V490" s="103"/>
      <c r="W490" s="100"/>
      <c r="X490" s="90"/>
      <c r="Y490" s="91"/>
      <c r="Z490" s="92"/>
      <c r="AA490" s="80"/>
      <c r="AB490" s="80"/>
      <c r="AC490" s="80"/>
    </row>
    <row r="491" spans="1:29" ht="39.950000000000003" customHeight="1" x14ac:dyDescent="0.25">
      <c r="A491" s="80"/>
      <c r="B491" s="88"/>
      <c r="C491" s="80"/>
      <c r="D491" s="80"/>
      <c r="E491" s="83"/>
      <c r="F491" s="83"/>
      <c r="G491" s="43"/>
      <c r="H491" s="80"/>
      <c r="I491" s="49"/>
      <c r="J491" s="83"/>
      <c r="K491" s="84"/>
      <c r="L491" s="80"/>
      <c r="M491" s="80"/>
      <c r="N491" s="80"/>
      <c r="O491" s="80"/>
      <c r="P491" s="80"/>
      <c r="Q491" s="80"/>
      <c r="R491" s="62"/>
      <c r="S491" s="73"/>
      <c r="T491" s="83"/>
      <c r="U491" s="93"/>
      <c r="V491" s="103"/>
      <c r="W491" s="100"/>
      <c r="X491" s="90"/>
      <c r="Y491" s="91"/>
      <c r="Z491" s="92"/>
      <c r="AA491" s="80"/>
      <c r="AB491" s="80"/>
      <c r="AC491" s="80"/>
    </row>
    <row r="492" spans="1:29" ht="39.950000000000003" customHeight="1" x14ac:dyDescent="0.25">
      <c r="A492" s="80"/>
      <c r="B492" s="88"/>
      <c r="C492" s="80"/>
      <c r="D492" s="80"/>
      <c r="E492" s="83"/>
      <c r="F492" s="83"/>
      <c r="G492" s="43"/>
      <c r="H492" s="80"/>
      <c r="I492" s="49"/>
      <c r="J492" s="83"/>
      <c r="K492" s="84"/>
      <c r="L492" s="80"/>
      <c r="M492" s="80"/>
      <c r="N492" s="80"/>
      <c r="O492" s="80"/>
      <c r="P492" s="80"/>
      <c r="Q492" s="80"/>
      <c r="R492" s="62"/>
      <c r="S492" s="73"/>
      <c r="T492" s="83"/>
      <c r="U492" s="93"/>
      <c r="V492" s="103"/>
      <c r="W492" s="100"/>
      <c r="X492" s="90"/>
      <c r="Y492" s="91"/>
      <c r="Z492" s="92"/>
      <c r="AA492" s="80"/>
      <c r="AB492" s="80"/>
      <c r="AC492" s="80"/>
    </row>
    <row r="493" spans="1:29" ht="39.950000000000003" customHeight="1" x14ac:dyDescent="0.25">
      <c r="A493" s="80"/>
      <c r="B493" s="88"/>
      <c r="C493" s="80"/>
      <c r="D493" s="80"/>
      <c r="E493" s="83"/>
      <c r="F493" s="83"/>
      <c r="G493" s="43"/>
      <c r="H493" s="80"/>
      <c r="I493" s="49"/>
      <c r="J493" s="83"/>
      <c r="K493" s="84"/>
      <c r="L493" s="80"/>
      <c r="M493" s="80"/>
      <c r="N493" s="80"/>
      <c r="O493" s="80"/>
      <c r="P493" s="80"/>
      <c r="Q493" s="80"/>
      <c r="R493" s="62"/>
      <c r="S493" s="73"/>
      <c r="T493" s="83"/>
      <c r="U493" s="93"/>
      <c r="V493" s="103"/>
      <c r="W493" s="100"/>
      <c r="X493" s="90"/>
      <c r="Y493" s="91"/>
      <c r="Z493" s="92"/>
      <c r="AA493" s="80"/>
      <c r="AB493" s="80"/>
      <c r="AC493" s="80"/>
    </row>
    <row r="494" spans="1:29" ht="39.950000000000003" customHeight="1" x14ac:dyDescent="0.25">
      <c r="A494" s="80"/>
      <c r="B494" s="88"/>
      <c r="C494" s="80"/>
      <c r="D494" s="80"/>
      <c r="E494" s="83"/>
      <c r="F494" s="83"/>
      <c r="G494" s="43"/>
      <c r="H494" s="80"/>
      <c r="I494" s="49"/>
      <c r="J494" s="83"/>
      <c r="K494" s="84"/>
      <c r="L494" s="80"/>
      <c r="M494" s="80"/>
      <c r="N494" s="80"/>
      <c r="O494" s="80"/>
      <c r="P494" s="80"/>
      <c r="Q494" s="80"/>
      <c r="R494" s="62"/>
      <c r="S494" s="73"/>
      <c r="T494" s="83"/>
      <c r="U494" s="93"/>
      <c r="V494" s="103"/>
      <c r="W494" s="100"/>
      <c r="X494" s="90"/>
      <c r="Y494" s="91"/>
      <c r="Z494" s="92"/>
      <c r="AA494" s="80"/>
      <c r="AB494" s="80"/>
      <c r="AC494" s="80"/>
    </row>
    <row r="495" spans="1:29" ht="39.950000000000003" customHeight="1" x14ac:dyDescent="0.25">
      <c r="A495" s="80"/>
      <c r="B495" s="88"/>
      <c r="C495" s="80"/>
      <c r="D495" s="80"/>
      <c r="E495" s="83"/>
      <c r="F495" s="83"/>
      <c r="G495" s="43"/>
      <c r="H495" s="80"/>
      <c r="I495" s="49"/>
      <c r="J495" s="83"/>
      <c r="K495" s="84"/>
      <c r="L495" s="80"/>
      <c r="M495" s="80"/>
      <c r="N495" s="80"/>
      <c r="O495" s="80"/>
      <c r="P495" s="80"/>
      <c r="Q495" s="80"/>
      <c r="R495" s="62"/>
      <c r="S495" s="73"/>
      <c r="T495" s="83"/>
      <c r="U495" s="93"/>
      <c r="V495" s="103"/>
      <c r="W495" s="100"/>
      <c r="X495" s="90"/>
      <c r="Y495" s="91"/>
      <c r="Z495" s="92"/>
      <c r="AA495" s="80"/>
      <c r="AB495" s="80"/>
      <c r="AC495" s="80"/>
    </row>
    <row r="496" spans="1:29" ht="39.950000000000003" customHeight="1" x14ac:dyDescent="0.25">
      <c r="A496" s="80"/>
      <c r="B496" s="88"/>
      <c r="C496" s="80"/>
      <c r="D496" s="80"/>
      <c r="E496" s="83"/>
      <c r="F496" s="83"/>
      <c r="G496" s="43"/>
      <c r="H496" s="80"/>
      <c r="I496" s="49"/>
      <c r="J496" s="83"/>
      <c r="K496" s="84"/>
      <c r="L496" s="80"/>
      <c r="M496" s="80"/>
      <c r="N496" s="80"/>
      <c r="O496" s="80"/>
      <c r="P496" s="80"/>
      <c r="Q496" s="80"/>
      <c r="R496" s="62"/>
      <c r="S496" s="73"/>
      <c r="T496" s="83"/>
      <c r="U496" s="93"/>
      <c r="V496" s="103"/>
      <c r="W496" s="100"/>
      <c r="X496" s="90"/>
      <c r="Y496" s="91"/>
      <c r="Z496" s="92"/>
      <c r="AA496" s="80"/>
      <c r="AB496" s="80"/>
      <c r="AC496" s="80"/>
    </row>
    <row r="497" spans="1:29" ht="39.950000000000003" customHeight="1" x14ac:dyDescent="0.25">
      <c r="A497" s="80"/>
      <c r="B497" s="88"/>
      <c r="C497" s="80"/>
      <c r="D497" s="80"/>
      <c r="E497" s="83"/>
      <c r="F497" s="83"/>
      <c r="G497" s="43"/>
      <c r="H497" s="80"/>
      <c r="I497" s="49"/>
      <c r="J497" s="83"/>
      <c r="K497" s="84"/>
      <c r="L497" s="80"/>
      <c r="M497" s="80"/>
      <c r="N497" s="80"/>
      <c r="O497" s="80"/>
      <c r="P497" s="80"/>
      <c r="Q497" s="80"/>
      <c r="R497" s="62"/>
      <c r="S497" s="73"/>
      <c r="T497" s="83"/>
      <c r="U497" s="93"/>
      <c r="V497" s="103"/>
      <c r="W497" s="100"/>
      <c r="X497" s="90"/>
      <c r="Y497" s="91"/>
      <c r="Z497" s="92"/>
      <c r="AA497" s="80"/>
      <c r="AB497" s="80"/>
      <c r="AC497" s="80"/>
    </row>
    <row r="498" spans="1:29" ht="39.950000000000003" customHeight="1" x14ac:dyDescent="0.25">
      <c r="A498" s="80"/>
      <c r="B498" s="88"/>
      <c r="C498" s="80"/>
      <c r="D498" s="80"/>
      <c r="E498" s="83"/>
      <c r="F498" s="83"/>
      <c r="G498" s="43"/>
      <c r="H498" s="80"/>
      <c r="I498" s="49"/>
      <c r="J498" s="83"/>
      <c r="K498" s="84"/>
      <c r="L498" s="80"/>
      <c r="M498" s="80"/>
      <c r="N498" s="80"/>
      <c r="O498" s="80"/>
      <c r="P498" s="80"/>
      <c r="Q498" s="80"/>
      <c r="R498" s="62"/>
      <c r="S498" s="73"/>
      <c r="T498" s="83"/>
      <c r="U498" s="93"/>
      <c r="V498" s="103"/>
      <c r="W498" s="100"/>
      <c r="X498" s="90"/>
      <c r="Y498" s="91"/>
      <c r="Z498" s="92"/>
      <c r="AA498" s="80"/>
      <c r="AB498" s="80"/>
      <c r="AC498" s="80"/>
    </row>
    <row r="499" spans="1:29" ht="39.950000000000003" customHeight="1" x14ac:dyDescent="0.25">
      <c r="A499" s="80"/>
      <c r="B499" s="88"/>
      <c r="C499" s="80"/>
      <c r="D499" s="80"/>
      <c r="E499" s="83"/>
      <c r="F499" s="83"/>
      <c r="G499" s="43"/>
      <c r="H499" s="80"/>
      <c r="I499" s="49"/>
      <c r="J499" s="83"/>
      <c r="K499" s="84"/>
      <c r="L499" s="80"/>
      <c r="M499" s="80"/>
      <c r="N499" s="80"/>
      <c r="O499" s="80"/>
      <c r="P499" s="80"/>
      <c r="Q499" s="80"/>
      <c r="R499" s="62"/>
      <c r="S499" s="73"/>
      <c r="T499" s="83"/>
      <c r="U499" s="93"/>
      <c r="V499" s="103"/>
      <c r="W499" s="100"/>
      <c r="X499" s="90"/>
      <c r="Y499" s="91"/>
      <c r="Z499" s="92"/>
      <c r="AA499" s="80"/>
      <c r="AB499" s="80"/>
      <c r="AC499" s="80"/>
    </row>
    <row r="500" spans="1:29" ht="39.950000000000003" customHeight="1" x14ac:dyDescent="0.25">
      <c r="A500" s="80"/>
      <c r="B500" s="88"/>
      <c r="C500" s="80"/>
      <c r="D500" s="80"/>
      <c r="E500" s="83"/>
      <c r="F500" s="83"/>
      <c r="G500" s="43"/>
      <c r="H500" s="80"/>
      <c r="I500" s="49"/>
      <c r="J500" s="83"/>
      <c r="K500" s="84"/>
      <c r="L500" s="80"/>
      <c r="M500" s="80"/>
      <c r="N500" s="80"/>
      <c r="O500" s="80"/>
      <c r="P500" s="80"/>
      <c r="Q500" s="80"/>
      <c r="R500" s="62"/>
      <c r="S500" s="73"/>
      <c r="T500" s="83"/>
      <c r="U500" s="93"/>
      <c r="V500" s="103"/>
      <c r="W500" s="100"/>
      <c r="X500" s="90"/>
      <c r="Y500" s="91"/>
      <c r="Z500" s="92"/>
      <c r="AA500" s="80"/>
      <c r="AB500" s="80"/>
      <c r="AC500" s="80"/>
    </row>
  </sheetData>
  <conditionalFormatting sqref="I2:I1048576">
    <cfRule type="containsText" dxfId="4" priority="9" operator="containsText" text="OPEN">
      <formula>NOT(ISERROR(SEARCH("OPEN",I2)))</formula>
    </cfRule>
  </conditionalFormatting>
  <conditionalFormatting sqref="H2:H1048576">
    <cfRule type="containsText" dxfId="3" priority="8" operator="containsText" text="YES">
      <formula>NOT(ISERROR(SEARCH("YES",H2)))</formula>
    </cfRule>
  </conditionalFormatting>
  <conditionalFormatting sqref="F2:F1048576">
    <cfRule type="containsText" dxfId="2" priority="6" operator="containsText" text="STOPPED">
      <formula>NOT(ISERROR(SEARCH("STOPPED",F2)))</formula>
    </cfRule>
    <cfRule type="containsText" dxfId="1" priority="7" operator="containsText" text="DELAYED">
      <formula>NOT(ISERROR(SEARCH("DELAYED",F2)))</formula>
    </cfRule>
  </conditionalFormatting>
  <conditionalFormatting sqref="I2:I8">
    <cfRule type="containsText" dxfId="0" priority="5" operator="containsText" text="UNRESOLVED">
      <formula>NOT(ISERROR(SEARCH("UNRESOLVED",I2)))</formula>
    </cfRule>
  </conditionalFormatting>
  <dataValidations count="8">
    <dataValidation type="list" allowBlank="1" showInputMessage="1" showErrorMessage="1" sqref="J9:K350" xr:uid="{00000000-0002-0000-0100-000000000000}">
      <formula1>Equipment</formula1>
    </dataValidation>
    <dataValidation type="list" allowBlank="1" showInputMessage="1" showErrorMessage="1" sqref="H9:H350" xr:uid="{00000000-0002-0000-0100-000001000000}">
      <formula1>Hazard</formula1>
    </dataValidation>
    <dataValidation type="list" allowBlank="1" showInputMessage="1" showErrorMessage="1" sqref="C9:D350" xr:uid="{00000000-0002-0000-0100-000002000000}">
      <formula1>Technicians</formula1>
    </dataValidation>
    <dataValidation type="list" allowBlank="1" showInputMessage="1" showErrorMessage="1" sqref="F9:F350" xr:uid="{00000000-0002-0000-0100-000003000000}">
      <formula1>TestImpact</formula1>
    </dataValidation>
    <dataValidation type="list" allowBlank="1" showInputMessage="1" showErrorMessage="1" sqref="I9:I350" xr:uid="{00000000-0002-0000-0100-000004000000}">
      <formula1>Status</formula1>
    </dataValidation>
    <dataValidation type="list" allowBlank="1" showInputMessage="1" showErrorMessage="1" sqref="R9:R350" xr:uid="{00000000-0002-0000-0100-000005000000}">
      <formula1>CorrectAct</formula1>
    </dataValidation>
    <dataValidation type="list" allowBlank="1" showInputMessage="1" showErrorMessage="1" sqref="S9:S350" xr:uid="{00000000-0002-0000-0100-000006000000}">
      <formula1>FailureMode</formula1>
    </dataValidation>
    <dataValidation type="list" allowBlank="1" showInputMessage="1" showErrorMessage="1" sqref="T9:T350" xr:uid="{00000000-0002-0000-0100-000007000000}">
      <formula1>Cause</formula1>
    </dataValidation>
  </dataValidations>
  <pageMargins left="0.41" right="0.7" top="0.75" bottom="0.75" header="0.3" footer="0.3"/>
  <pageSetup paperSize="3" scale="33" fitToHeight="0" orientation="landscape" r:id="rId1"/>
  <headerFooter>
    <oddFooter>&amp;C&amp;1#&amp;"Calibri"&amp;10 Schlumberger-Private</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5"/>
  <dimension ref="A1:A3"/>
  <sheetViews>
    <sheetView zoomScaleNormal="100" workbookViewId="0">
      <selection activeCell="A2" sqref="A2"/>
    </sheetView>
  </sheetViews>
  <sheetFormatPr defaultRowHeight="15" x14ac:dyDescent="0.25"/>
  <cols>
    <col min="1" max="1" width="95.28515625" customWidth="1"/>
  </cols>
  <sheetData>
    <row r="1" spans="1:1" x14ac:dyDescent="0.25">
      <c r="A1" t="s">
        <v>1780</v>
      </c>
    </row>
    <row r="2" spans="1:1" ht="409.5" customHeight="1" x14ac:dyDescent="0.25">
      <c r="A2" s="131" t="s">
        <v>1781</v>
      </c>
    </row>
    <row r="3" spans="1:1" x14ac:dyDescent="0.25">
      <c r="A3">
        <f>LEN(A2)</f>
        <v>49</v>
      </c>
    </row>
  </sheetData>
  <pageMargins left="0.7" right="0.7" top="0.75" bottom="0.75" header="0.3" footer="0.3"/>
  <pageSetup orientation="portrait" r:id="rId1"/>
  <headerFooter>
    <oddFooter>&amp;C&amp;1#&amp;"Calibri"&amp;10 Schlumberger-Private</oddFoot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dimension ref="A1:AK500"/>
  <sheetViews>
    <sheetView topLeftCell="D1" zoomScale="70" zoomScaleNormal="70" workbookViewId="0">
      <selection activeCell="F2" sqref="F2:F500"/>
    </sheetView>
  </sheetViews>
  <sheetFormatPr defaultRowHeight="15" x14ac:dyDescent="0.25"/>
  <cols>
    <col min="1" max="1" width="38.42578125" style="109" customWidth="1"/>
    <col min="2" max="2" width="32.85546875" style="109" customWidth="1"/>
    <col min="3" max="3" width="22.7109375" style="109" customWidth="1"/>
    <col min="4" max="4" width="22" style="109" customWidth="1"/>
    <col min="5" max="5" width="33.28515625" style="57" customWidth="1"/>
    <col min="6" max="6" width="40.28515625" style="57" customWidth="1"/>
    <col min="7" max="7" width="26.5703125" style="57" customWidth="1"/>
    <col min="8" max="8" width="39.7109375" customWidth="1"/>
    <col min="9" max="9" width="24.85546875" customWidth="1"/>
    <col min="10" max="10" width="37.42578125" customWidth="1"/>
    <col min="11" max="11" width="35" customWidth="1"/>
    <col min="12" max="12" width="35.140625" customWidth="1"/>
    <col min="13" max="13" width="33.140625" style="58" customWidth="1"/>
    <col min="14" max="14" width="32.85546875" customWidth="1"/>
    <col min="15" max="15" width="40" customWidth="1"/>
    <col min="16" max="16" width="40.85546875" customWidth="1"/>
    <col min="17" max="17" width="37.140625" customWidth="1"/>
    <col min="18" max="18" width="36.7109375" style="58" customWidth="1"/>
    <col min="19" max="19" width="58.42578125" customWidth="1"/>
    <col min="20" max="20" width="112" customWidth="1"/>
    <col min="21" max="21" width="70.42578125" style="58" customWidth="1"/>
    <col min="22" max="22" width="39.42578125" style="58" customWidth="1"/>
    <col min="23" max="23" width="23.140625" style="58" customWidth="1"/>
    <col min="24" max="24" width="20.140625" customWidth="1"/>
    <col min="25" max="25" width="109.7109375" customWidth="1"/>
    <col min="26" max="26" width="33" customWidth="1"/>
    <col min="27" max="27" width="31.7109375" customWidth="1"/>
    <col min="28" max="28" width="19.28515625" customWidth="1"/>
    <col min="29" max="29" width="28.7109375" customWidth="1"/>
    <col min="30" max="30" width="35.28515625" customWidth="1"/>
  </cols>
  <sheetData>
    <row r="1" spans="1:37" ht="18.75" x14ac:dyDescent="0.25">
      <c r="A1" s="56" t="s">
        <v>5</v>
      </c>
      <c r="B1" s="56" t="s">
        <v>933</v>
      </c>
      <c r="C1" s="56" t="s">
        <v>154</v>
      </c>
      <c r="D1" s="56" t="s">
        <v>6</v>
      </c>
      <c r="E1" s="56" t="s">
        <v>899</v>
      </c>
      <c r="F1" s="56" t="s">
        <v>463</v>
      </c>
      <c r="G1" s="114"/>
      <c r="H1" s="56" t="s">
        <v>954</v>
      </c>
      <c r="I1" s="56" t="s">
        <v>11</v>
      </c>
      <c r="J1" s="56" t="s">
        <v>275</v>
      </c>
      <c r="K1" s="56"/>
      <c r="L1" s="56" t="s">
        <v>97</v>
      </c>
      <c r="M1" s="112"/>
      <c r="N1" s="56" t="s">
        <v>9</v>
      </c>
      <c r="O1" s="59"/>
      <c r="P1" s="59"/>
      <c r="Q1" s="59"/>
      <c r="R1" s="113"/>
      <c r="S1" s="56" t="s">
        <v>283</v>
      </c>
      <c r="T1" s="56" t="s">
        <v>284</v>
      </c>
      <c r="U1" s="112"/>
      <c r="V1" s="112"/>
      <c r="X1" s="58"/>
      <c r="Y1" s="58"/>
      <c r="Z1" s="59"/>
      <c r="AA1" s="59"/>
      <c r="AB1" s="59" t="s">
        <v>455</v>
      </c>
      <c r="AC1" s="56" t="s">
        <v>557</v>
      </c>
      <c r="AD1" s="56" t="s">
        <v>814</v>
      </c>
      <c r="AE1" s="58"/>
      <c r="AF1" s="58"/>
      <c r="AG1" s="58"/>
      <c r="AH1" s="58"/>
      <c r="AI1" s="58"/>
      <c r="AJ1" s="58"/>
      <c r="AK1" s="58"/>
    </row>
    <row r="2" spans="1:37" ht="18.75" x14ac:dyDescent="0.25">
      <c r="A2" s="108" t="s">
        <v>982</v>
      </c>
      <c r="B2" s="109" t="s">
        <v>940</v>
      </c>
      <c r="C2" s="110" t="s">
        <v>547</v>
      </c>
      <c r="D2" s="111" t="s">
        <v>1</v>
      </c>
      <c r="E2" s="57" t="s">
        <v>1306</v>
      </c>
      <c r="F2" s="140"/>
      <c r="G2" s="115"/>
      <c r="H2" s="119" t="s">
        <v>464</v>
      </c>
      <c r="I2" s="106" t="s">
        <v>18</v>
      </c>
      <c r="J2" s="107" t="s">
        <v>1690</v>
      </c>
      <c r="K2" s="53"/>
      <c r="L2" s="107" t="s">
        <v>1690</v>
      </c>
      <c r="N2" s="34" t="s">
        <v>1726</v>
      </c>
      <c r="Q2" s="57"/>
      <c r="R2" s="57"/>
      <c r="S2" s="61" t="str">
        <f t="shared" ref="S2:S65" si="0">CONCATENATE("C:\Users\96015\Desktop\EMR Log\", R2)</f>
        <v>C:\Users\96015\Desktop\EMR Log\</v>
      </c>
      <c r="T2" s="57" t="str">
        <f t="shared" ref="T2:T65" si="1">CONCATENATE("C:\Users\96015\Desktop\EMR Log\",R2,"\",R2,".txt")</f>
        <v>C:\Users\96015\Desktop\EMR Log\\.txt</v>
      </c>
      <c r="U2" s="118"/>
      <c r="X2" s="29" t="str">
        <f t="shared" ref="X2:X33" si="2">CONCATENATE("C:\Users\96015\Desktop\EMR Log\",W2)</f>
        <v>C:\Users\96015\Desktop\EMR Log\</v>
      </c>
      <c r="Y2" s="30" t="str">
        <f t="shared" ref="Y2:Y33" si="3">CONCATENATE("C:\Users\96015\Desktop\EMR Log\",W2,"\", W2,".txt")</f>
        <v>C:\Users\96015\Desktop\EMR Log\\.txt</v>
      </c>
      <c r="Z2" s="57"/>
      <c r="AB2" s="106" t="s">
        <v>285</v>
      </c>
      <c r="AC2" s="10" t="s">
        <v>79</v>
      </c>
      <c r="AD2" t="s">
        <v>815</v>
      </c>
    </row>
    <row r="3" spans="1:37" ht="18.75" x14ac:dyDescent="0.25">
      <c r="A3" s="108" t="s">
        <v>136</v>
      </c>
      <c r="B3" s="109" t="s">
        <v>88</v>
      </c>
      <c r="C3" s="110" t="s">
        <v>558</v>
      </c>
      <c r="D3" s="111" t="s">
        <v>1004</v>
      </c>
      <c r="E3" s="57" t="s">
        <v>1770</v>
      </c>
      <c r="F3" s="140" t="s">
        <v>136</v>
      </c>
      <c r="G3" s="115"/>
      <c r="H3" s="119" t="s">
        <v>17</v>
      </c>
      <c r="I3" s="106" t="s">
        <v>19</v>
      </c>
      <c r="J3" s="107" t="s">
        <v>1716</v>
      </c>
      <c r="K3" s="53"/>
      <c r="L3" s="107" t="s">
        <v>81</v>
      </c>
      <c r="N3" s="107" t="s">
        <v>1721</v>
      </c>
      <c r="Q3" s="57"/>
      <c r="R3" s="57"/>
      <c r="S3" s="61" t="str">
        <f t="shared" si="0"/>
        <v>C:\Users\96015\Desktop\EMR Log\</v>
      </c>
      <c r="T3" s="57" t="str">
        <f t="shared" si="1"/>
        <v>C:\Users\96015\Desktop\EMR Log\\.txt</v>
      </c>
      <c r="U3" s="118"/>
      <c r="X3" s="29" t="str">
        <f t="shared" si="2"/>
        <v>C:\Users\96015\Desktop\EMR Log\</v>
      </c>
      <c r="Y3" s="30" t="str">
        <f t="shared" si="3"/>
        <v>C:\Users\96015\Desktop\EMR Log\\.txt</v>
      </c>
      <c r="Z3" s="57"/>
      <c r="AB3" s="106" t="s">
        <v>458</v>
      </c>
      <c r="AC3" s="10" t="s">
        <v>554</v>
      </c>
      <c r="AD3" t="s">
        <v>279</v>
      </c>
    </row>
    <row r="4" spans="1:37" ht="18.75" x14ac:dyDescent="0.25">
      <c r="A4" s="108" t="s">
        <v>1888</v>
      </c>
      <c r="B4" s="125" t="s">
        <v>871</v>
      </c>
      <c r="C4" s="110" t="s">
        <v>712</v>
      </c>
      <c r="D4" s="111" t="s">
        <v>602</v>
      </c>
      <c r="E4" s="115" t="s">
        <v>978</v>
      </c>
      <c r="F4" s="141" t="s">
        <v>695</v>
      </c>
      <c r="G4" s="115"/>
      <c r="H4" s="119" t="s">
        <v>774</v>
      </c>
      <c r="I4" s="106"/>
      <c r="J4" s="107" t="s">
        <v>359</v>
      </c>
      <c r="K4" s="53"/>
      <c r="L4" s="107" t="s">
        <v>1653</v>
      </c>
      <c r="N4" s="107" t="s">
        <v>61</v>
      </c>
      <c r="O4" s="53"/>
      <c r="P4" s="63"/>
      <c r="Q4" s="57"/>
      <c r="R4" s="57"/>
      <c r="S4" s="61" t="str">
        <f t="shared" si="0"/>
        <v>C:\Users\96015\Desktop\EMR Log\</v>
      </c>
      <c r="T4" s="57" t="str">
        <f t="shared" si="1"/>
        <v>C:\Users\96015\Desktop\EMR Log\\.txt</v>
      </c>
      <c r="U4" s="118"/>
      <c r="X4" s="29" t="str">
        <f t="shared" si="2"/>
        <v>C:\Users\96015\Desktop\EMR Log\</v>
      </c>
      <c r="Y4" s="30" t="str">
        <f t="shared" si="3"/>
        <v>C:\Users\96015\Desktop\EMR Log\\.txt</v>
      </c>
      <c r="Z4" s="57"/>
      <c r="AA4" s="22"/>
      <c r="AB4" s="106" t="s">
        <v>468</v>
      </c>
      <c r="AC4" s="10" t="s">
        <v>556</v>
      </c>
      <c r="AD4" t="s">
        <v>280</v>
      </c>
    </row>
    <row r="5" spans="1:37" ht="18.75" x14ac:dyDescent="0.25">
      <c r="A5" s="108" t="s">
        <v>134</v>
      </c>
      <c r="B5" s="125" t="s">
        <v>921</v>
      </c>
      <c r="C5" s="110" t="s">
        <v>559</v>
      </c>
      <c r="D5" s="111" t="s">
        <v>952</v>
      </c>
      <c r="E5" s="115" t="s">
        <v>1369</v>
      </c>
      <c r="F5" s="141" t="s">
        <v>525</v>
      </c>
      <c r="G5" s="115"/>
      <c r="H5" s="119" t="s">
        <v>938</v>
      </c>
      <c r="I5" s="106"/>
      <c r="J5" s="107" t="s">
        <v>67</v>
      </c>
      <c r="K5" s="53"/>
      <c r="L5" s="107" t="s">
        <v>1727</v>
      </c>
      <c r="N5" s="107" t="s">
        <v>1017</v>
      </c>
      <c r="O5" s="63"/>
      <c r="R5" s="57"/>
      <c r="S5" s="61" t="str">
        <f t="shared" si="0"/>
        <v>C:\Users\96015\Desktop\EMR Log\</v>
      </c>
      <c r="T5" s="57" t="str">
        <f t="shared" si="1"/>
        <v>C:\Users\96015\Desktop\EMR Log\\.txt</v>
      </c>
      <c r="U5" s="118"/>
      <c r="X5" s="29" t="str">
        <f t="shared" si="2"/>
        <v>C:\Users\96015\Desktop\EMR Log\</v>
      </c>
      <c r="Y5" s="30" t="str">
        <f t="shared" si="3"/>
        <v>C:\Users\96015\Desktop\EMR Log\\.txt</v>
      </c>
      <c r="Z5" s="57"/>
      <c r="AB5" s="106" t="s">
        <v>520</v>
      </c>
      <c r="AC5" t="s">
        <v>555</v>
      </c>
      <c r="AD5" t="s">
        <v>281</v>
      </c>
    </row>
    <row r="6" spans="1:37" ht="18.75" x14ac:dyDescent="0.25">
      <c r="A6" s="108" t="s">
        <v>630</v>
      </c>
      <c r="B6" s="125" t="s">
        <v>433</v>
      </c>
      <c r="C6" s="110" t="s">
        <v>1002</v>
      </c>
      <c r="D6" s="111" t="s">
        <v>3</v>
      </c>
      <c r="E6" s="115" t="s">
        <v>1617</v>
      </c>
      <c r="F6" s="141" t="s">
        <v>490</v>
      </c>
      <c r="G6" s="115"/>
      <c r="H6" s="119" t="s">
        <v>938</v>
      </c>
      <c r="I6" s="106"/>
      <c r="J6" s="107" t="s">
        <v>68</v>
      </c>
      <c r="K6" s="53"/>
      <c r="L6" s="107" t="s">
        <v>1006</v>
      </c>
      <c r="N6" s="107" t="s">
        <v>1722</v>
      </c>
      <c r="R6" s="57"/>
      <c r="S6" s="61" t="str">
        <f t="shared" si="0"/>
        <v>C:\Users\96015\Desktop\EMR Log\</v>
      </c>
      <c r="T6" s="57" t="str">
        <f t="shared" si="1"/>
        <v>C:\Users\96015\Desktop\EMR Log\\.txt</v>
      </c>
      <c r="U6" s="118"/>
      <c r="X6" s="29" t="str">
        <f t="shared" si="2"/>
        <v>C:\Users\96015\Desktop\EMR Log\</v>
      </c>
      <c r="Y6" s="30" t="str">
        <f t="shared" si="3"/>
        <v>C:\Users\96015\Desktop\EMR Log\\.txt</v>
      </c>
      <c r="Z6" s="57"/>
      <c r="AB6" s="106"/>
      <c r="AC6" t="s">
        <v>1719</v>
      </c>
      <c r="AD6" t="s">
        <v>282</v>
      </c>
    </row>
    <row r="7" spans="1:37" ht="18.75" x14ac:dyDescent="0.25">
      <c r="A7" s="108" t="s">
        <v>715</v>
      </c>
      <c r="B7" s="125" t="s">
        <v>672</v>
      </c>
      <c r="C7" s="110" t="s">
        <v>1003</v>
      </c>
      <c r="D7" s="111" t="s">
        <v>0</v>
      </c>
      <c r="E7" s="115" t="s">
        <v>1357</v>
      </c>
      <c r="F7" s="141" t="s">
        <v>108</v>
      </c>
      <c r="G7" s="115"/>
      <c r="H7" s="119" t="s">
        <v>441</v>
      </c>
      <c r="I7" s="106"/>
      <c r="J7" s="107" t="s">
        <v>597</v>
      </c>
      <c r="K7" s="53"/>
      <c r="L7" s="107" t="s">
        <v>1141</v>
      </c>
      <c r="N7" s="107" t="s">
        <v>1723</v>
      </c>
      <c r="R7" s="57"/>
      <c r="S7" s="61" t="str">
        <f t="shared" si="0"/>
        <v>C:\Users\96015\Desktop\EMR Log\</v>
      </c>
      <c r="T7" s="57" t="str">
        <f t="shared" si="1"/>
        <v>C:\Users\96015\Desktop\EMR Log\\.txt</v>
      </c>
      <c r="U7" s="118"/>
      <c r="X7" s="29" t="str">
        <f t="shared" si="2"/>
        <v>C:\Users\96015\Desktop\EMR Log\</v>
      </c>
      <c r="Y7" s="30" t="str">
        <f t="shared" si="3"/>
        <v>C:\Users\96015\Desktop\EMR Log\\.txt</v>
      </c>
      <c r="AA7" s="55"/>
      <c r="AB7" s="106"/>
      <c r="AD7" t="s">
        <v>367</v>
      </c>
    </row>
    <row r="8" spans="1:37" ht="18.75" x14ac:dyDescent="0.25">
      <c r="A8" s="108" t="s">
        <v>108</v>
      </c>
      <c r="B8" s="125" t="s">
        <v>314</v>
      </c>
      <c r="C8" s="110" t="s">
        <v>155</v>
      </c>
      <c r="D8" s="111" t="s">
        <v>89</v>
      </c>
      <c r="E8" s="115" t="s">
        <v>956</v>
      </c>
      <c r="F8" s="141" t="s">
        <v>16</v>
      </c>
      <c r="G8" s="115"/>
      <c r="H8" s="119" t="s">
        <v>13</v>
      </c>
      <c r="I8" s="106"/>
      <c r="J8" s="107" t="s">
        <v>989</v>
      </c>
      <c r="K8" s="53"/>
      <c r="L8" s="107" t="s">
        <v>1554</v>
      </c>
      <c r="N8" s="107" t="s">
        <v>1018</v>
      </c>
      <c r="R8" s="57"/>
      <c r="S8" s="61" t="str">
        <f t="shared" si="0"/>
        <v>C:\Users\96015\Desktop\EMR Log\</v>
      </c>
      <c r="T8" s="57" t="str">
        <f t="shared" si="1"/>
        <v>C:\Users\96015\Desktop\EMR Log\\.txt</v>
      </c>
      <c r="U8" s="118"/>
      <c r="X8" s="29" t="str">
        <f t="shared" si="2"/>
        <v>C:\Users\96015\Desktop\EMR Log\</v>
      </c>
      <c r="Y8" s="30" t="str">
        <f t="shared" si="3"/>
        <v>C:\Users\96015\Desktop\EMR Log\\.txt</v>
      </c>
      <c r="AA8" s="22"/>
      <c r="AB8" s="106"/>
      <c r="AD8" t="s">
        <v>372</v>
      </c>
    </row>
    <row r="9" spans="1:37" ht="18.75" x14ac:dyDescent="0.25">
      <c r="A9" s="108" t="s">
        <v>16</v>
      </c>
      <c r="B9" s="125" t="s">
        <v>515</v>
      </c>
      <c r="C9" s="110" t="s">
        <v>164</v>
      </c>
      <c r="D9" s="111" t="s">
        <v>146</v>
      </c>
      <c r="E9" s="115" t="s">
        <v>1362</v>
      </c>
      <c r="F9" s="141" t="s">
        <v>1001</v>
      </c>
      <c r="G9" s="115"/>
      <c r="H9" s="35"/>
      <c r="I9" s="34"/>
      <c r="J9" s="107" t="s">
        <v>990</v>
      </c>
      <c r="K9" s="54"/>
      <c r="L9" s="107" t="s">
        <v>1564</v>
      </c>
      <c r="N9" s="107" t="s">
        <v>78</v>
      </c>
      <c r="R9" s="57"/>
      <c r="S9" s="61" t="str">
        <f t="shared" si="0"/>
        <v>C:\Users\96015\Desktop\EMR Log\</v>
      </c>
      <c r="T9" s="57" t="str">
        <f t="shared" si="1"/>
        <v>C:\Users\96015\Desktop\EMR Log\\.txt</v>
      </c>
      <c r="U9" s="118"/>
      <c r="X9" s="29" t="str">
        <f t="shared" si="2"/>
        <v>C:\Users\96015\Desktop\EMR Log\</v>
      </c>
      <c r="Y9" s="30" t="str">
        <f t="shared" si="3"/>
        <v>C:\Users\96015\Desktop\EMR Log\\.txt</v>
      </c>
      <c r="AB9" s="34"/>
      <c r="AD9" t="s">
        <v>368</v>
      </c>
    </row>
    <row r="10" spans="1:37" ht="18.75" x14ac:dyDescent="0.25">
      <c r="A10" s="108" t="s">
        <v>798</v>
      </c>
      <c r="B10" s="125" t="s">
        <v>437</v>
      </c>
      <c r="C10" s="110" t="s">
        <v>165</v>
      </c>
      <c r="D10" s="111" t="s">
        <v>135</v>
      </c>
      <c r="E10" s="115" t="s">
        <v>968</v>
      </c>
      <c r="F10" s="141" t="s">
        <v>627</v>
      </c>
      <c r="G10" s="115"/>
      <c r="H10" s="35"/>
      <c r="I10" s="34"/>
      <c r="J10" s="107" t="s">
        <v>991</v>
      </c>
      <c r="L10" s="107" t="s">
        <v>63</v>
      </c>
      <c r="N10" s="107" t="s">
        <v>58</v>
      </c>
      <c r="R10" s="57"/>
      <c r="S10" s="61" t="str">
        <f t="shared" si="0"/>
        <v>C:\Users\96015\Desktop\EMR Log\</v>
      </c>
      <c r="T10" s="57" t="str">
        <f t="shared" si="1"/>
        <v>C:\Users\96015\Desktop\EMR Log\\.txt</v>
      </c>
      <c r="U10" s="118"/>
      <c r="X10" s="29" t="str">
        <f t="shared" si="2"/>
        <v>C:\Users\96015\Desktop\EMR Log\</v>
      </c>
      <c r="Y10" s="30" t="str">
        <f t="shared" si="3"/>
        <v>C:\Users\96015\Desktop\EMR Log\\.txt</v>
      </c>
      <c r="AB10" s="34"/>
      <c r="AD10" t="s">
        <v>369</v>
      </c>
    </row>
    <row r="11" spans="1:37" ht="18.75" x14ac:dyDescent="0.25">
      <c r="A11" s="108" t="s">
        <v>15</v>
      </c>
      <c r="B11" s="125" t="s">
        <v>465</v>
      </c>
      <c r="C11" s="110" t="s">
        <v>166</v>
      </c>
      <c r="D11" s="111" t="s">
        <v>4</v>
      </c>
      <c r="E11" s="132" t="s">
        <v>525</v>
      </c>
      <c r="F11" s="141" t="s">
        <v>464</v>
      </c>
      <c r="G11" s="115"/>
      <c r="H11" s="35"/>
      <c r="I11" s="34"/>
      <c r="J11" s="107" t="s">
        <v>992</v>
      </c>
      <c r="L11" s="107" t="s">
        <v>106</v>
      </c>
      <c r="N11" s="34" t="s">
        <v>1019</v>
      </c>
      <c r="R11" s="57"/>
      <c r="S11" s="61" t="str">
        <f t="shared" si="0"/>
        <v>C:\Users\96015\Desktop\EMR Log\</v>
      </c>
      <c r="T11" s="57" t="str">
        <f t="shared" si="1"/>
        <v>C:\Users\96015\Desktop\EMR Log\\.txt</v>
      </c>
      <c r="U11" s="118"/>
      <c r="X11" s="29" t="str">
        <f t="shared" si="2"/>
        <v>C:\Users\96015\Desktop\EMR Log\</v>
      </c>
      <c r="Y11" s="30" t="str">
        <f t="shared" si="3"/>
        <v>C:\Users\96015\Desktop\EMR Log\\.txt</v>
      </c>
      <c r="AB11" s="34"/>
      <c r="AD11" t="s">
        <v>370</v>
      </c>
    </row>
    <row r="12" spans="1:37" ht="18.75" x14ac:dyDescent="0.25">
      <c r="A12" s="108" t="s">
        <v>1686</v>
      </c>
      <c r="B12" s="125" t="s">
        <v>436</v>
      </c>
      <c r="C12" s="110" t="s">
        <v>167</v>
      </c>
      <c r="D12" s="111" t="s">
        <v>2</v>
      </c>
      <c r="E12" s="132" t="s">
        <v>1156</v>
      </c>
      <c r="F12" s="141" t="s">
        <v>582</v>
      </c>
      <c r="G12" s="115"/>
      <c r="H12" s="35"/>
      <c r="I12" s="34"/>
      <c r="J12" s="107" t="s">
        <v>1565</v>
      </c>
      <c r="L12" s="107" t="s">
        <v>62</v>
      </c>
      <c r="N12" s="34" t="s">
        <v>997</v>
      </c>
      <c r="R12" s="57"/>
      <c r="S12" s="61" t="str">
        <f t="shared" si="0"/>
        <v>C:\Users\96015\Desktop\EMR Log\</v>
      </c>
      <c r="T12" s="57" t="str">
        <f t="shared" si="1"/>
        <v>C:\Users\96015\Desktop\EMR Log\\.txt</v>
      </c>
      <c r="U12" s="118"/>
      <c r="X12" s="29" t="str">
        <f t="shared" si="2"/>
        <v>C:\Users\96015\Desktop\EMR Log\</v>
      </c>
      <c r="Y12" s="30" t="str">
        <f t="shared" si="3"/>
        <v>C:\Users\96015\Desktop\EMR Log\\.txt</v>
      </c>
      <c r="AB12" s="34"/>
      <c r="AD12" t="s">
        <v>371</v>
      </c>
    </row>
    <row r="13" spans="1:37" ht="18.75" x14ac:dyDescent="0.25">
      <c r="A13" s="108" t="s">
        <v>783</v>
      </c>
      <c r="B13" s="125" t="s">
        <v>561</v>
      </c>
      <c r="C13" s="110" t="s">
        <v>168</v>
      </c>
      <c r="D13" s="111" t="s">
        <v>285</v>
      </c>
      <c r="E13" s="139" t="s">
        <v>1517</v>
      </c>
      <c r="F13" s="140" t="s">
        <v>566</v>
      </c>
      <c r="G13" s="115"/>
      <c r="H13" s="35"/>
      <c r="I13" s="34"/>
      <c r="J13" s="107" t="s">
        <v>1561</v>
      </c>
      <c r="L13" s="107" t="s">
        <v>82</v>
      </c>
      <c r="N13" s="34" t="s">
        <v>1020</v>
      </c>
      <c r="R13" s="57"/>
      <c r="S13" s="61" t="str">
        <f t="shared" si="0"/>
        <v>C:\Users\96015\Desktop\EMR Log\</v>
      </c>
      <c r="T13" s="57" t="str">
        <f t="shared" si="1"/>
        <v>C:\Users\96015\Desktop\EMR Log\\.txt</v>
      </c>
      <c r="U13" s="118"/>
      <c r="X13" s="29" t="str">
        <f t="shared" si="2"/>
        <v>C:\Users\96015\Desktop\EMR Log\</v>
      </c>
      <c r="Y13" s="30" t="str">
        <f t="shared" si="3"/>
        <v>C:\Users\96015\Desktop\EMR Log\\.txt</v>
      </c>
      <c r="AB13" s="34"/>
      <c r="AD13" t="s">
        <v>299</v>
      </c>
    </row>
    <row r="14" spans="1:37" ht="18.75" x14ac:dyDescent="0.25">
      <c r="A14" s="108" t="s">
        <v>419</v>
      </c>
      <c r="B14" s="125" t="s">
        <v>1155</v>
      </c>
      <c r="C14" s="110" t="s">
        <v>169</v>
      </c>
      <c r="D14" s="111" t="s">
        <v>1005</v>
      </c>
      <c r="E14" s="139" t="s">
        <v>1330</v>
      </c>
      <c r="F14" s="140" t="s">
        <v>508</v>
      </c>
      <c r="G14" s="115"/>
      <c r="H14" s="35"/>
      <c r="I14" s="34"/>
      <c r="J14" s="107" t="s">
        <v>1776</v>
      </c>
      <c r="L14" s="107" t="s">
        <v>1007</v>
      </c>
      <c r="N14" s="34" t="s">
        <v>1787</v>
      </c>
      <c r="R14" s="57"/>
      <c r="S14" s="61" t="str">
        <f t="shared" si="0"/>
        <v>C:\Users\96015\Desktop\EMR Log\</v>
      </c>
      <c r="T14" s="57" t="str">
        <f t="shared" si="1"/>
        <v>C:\Users\96015\Desktop\EMR Log\\.txt</v>
      </c>
      <c r="U14" s="118"/>
      <c r="X14" s="29" t="str">
        <f t="shared" si="2"/>
        <v>C:\Users\96015\Desktop\EMR Log\</v>
      </c>
      <c r="Y14" s="30" t="str">
        <f t="shared" si="3"/>
        <v>C:\Users\96015\Desktop\EMR Log\\.txt</v>
      </c>
      <c r="AB14" s="34"/>
    </row>
    <row r="15" spans="1:37" ht="18.75" x14ac:dyDescent="0.25">
      <c r="A15" s="108" t="s">
        <v>552</v>
      </c>
      <c r="B15" s="125" t="s">
        <v>1583</v>
      </c>
      <c r="C15" s="110" t="s">
        <v>170</v>
      </c>
      <c r="D15" s="110" t="s">
        <v>90</v>
      </c>
      <c r="E15" s="139" t="s">
        <v>1508</v>
      </c>
      <c r="F15" s="140" t="s">
        <v>757</v>
      </c>
      <c r="G15" s="115"/>
      <c r="H15" s="35"/>
      <c r="I15" s="34"/>
      <c r="J15" s="107" t="s">
        <v>1592</v>
      </c>
      <c r="L15" s="107" t="s">
        <v>1008</v>
      </c>
      <c r="N15" s="34" t="s">
        <v>1591</v>
      </c>
      <c r="R15" s="57"/>
      <c r="S15" s="61" t="str">
        <f t="shared" si="0"/>
        <v>C:\Users\96015\Desktop\EMR Log\</v>
      </c>
      <c r="T15" s="57" t="str">
        <f t="shared" si="1"/>
        <v>C:\Users\96015\Desktop\EMR Log\\.txt</v>
      </c>
      <c r="U15" s="118"/>
      <c r="X15" s="29" t="str">
        <f t="shared" si="2"/>
        <v>C:\Users\96015\Desktop\EMR Log\</v>
      </c>
      <c r="Y15" s="30" t="str">
        <f t="shared" si="3"/>
        <v>C:\Users\96015\Desktop\EMR Log\\.txt</v>
      </c>
      <c r="AB15" s="34"/>
    </row>
    <row r="16" spans="1:37" ht="18.75" x14ac:dyDescent="0.25">
      <c r="A16" s="108" t="s">
        <v>686</v>
      </c>
      <c r="B16" s="125" t="s">
        <v>339</v>
      </c>
      <c r="C16" s="110" t="s">
        <v>171</v>
      </c>
      <c r="D16" s="110" t="s">
        <v>101</v>
      </c>
      <c r="E16" s="139" t="s">
        <v>1416</v>
      </c>
      <c r="F16" s="140" t="s">
        <v>17</v>
      </c>
      <c r="G16" s="115"/>
      <c r="H16" s="35"/>
      <c r="I16" s="34"/>
      <c r="J16" s="107" t="s">
        <v>1550</v>
      </c>
      <c r="L16" s="107" t="s">
        <v>1009</v>
      </c>
      <c r="N16" s="34" t="s">
        <v>1749</v>
      </c>
      <c r="R16" s="57"/>
      <c r="S16" s="61" t="str">
        <f t="shared" si="0"/>
        <v>C:\Users\96015\Desktop\EMR Log\</v>
      </c>
      <c r="T16" s="57" t="str">
        <f t="shared" si="1"/>
        <v>C:\Users\96015\Desktop\EMR Log\\.txt</v>
      </c>
      <c r="U16" s="118"/>
      <c r="X16" s="29" t="str">
        <f t="shared" si="2"/>
        <v>C:\Users\96015\Desktop\EMR Log\</v>
      </c>
      <c r="Y16" s="30" t="str">
        <f t="shared" si="3"/>
        <v>C:\Users\96015\Desktop\EMR Log\\.txt</v>
      </c>
      <c r="AB16" s="34"/>
    </row>
    <row r="17" spans="1:37" ht="18.75" x14ac:dyDescent="0.25">
      <c r="A17" s="108" t="s">
        <v>14</v>
      </c>
      <c r="B17" s="125" t="s">
        <v>417</v>
      </c>
      <c r="C17" s="110" t="s">
        <v>172</v>
      </c>
      <c r="D17" s="110"/>
      <c r="E17" s="139" t="s">
        <v>1196</v>
      </c>
      <c r="F17" s="140" t="s">
        <v>341</v>
      </c>
      <c r="G17" s="115"/>
      <c r="H17" s="35"/>
      <c r="I17" s="34"/>
      <c r="J17" s="34" t="s">
        <v>1552</v>
      </c>
      <c r="L17" s="107" t="s">
        <v>1010</v>
      </c>
      <c r="N17" s="34" t="s">
        <v>1730</v>
      </c>
      <c r="R17" s="57"/>
      <c r="S17" s="61" t="str">
        <f t="shared" si="0"/>
        <v>C:\Users\96015\Desktop\EMR Log\</v>
      </c>
      <c r="T17" s="57" t="str">
        <f t="shared" si="1"/>
        <v>C:\Users\96015\Desktop\EMR Log\\.txt</v>
      </c>
      <c r="U17" s="118"/>
      <c r="X17" s="29" t="str">
        <f t="shared" si="2"/>
        <v>C:\Users\96015\Desktop\EMR Log\</v>
      </c>
      <c r="Y17" s="30" t="str">
        <f t="shared" si="3"/>
        <v>C:\Users\96015\Desktop\EMR Log\\.txt</v>
      </c>
      <c r="AB17" s="34"/>
    </row>
    <row r="18" spans="1:37" ht="18.75" x14ac:dyDescent="0.25">
      <c r="A18" s="108" t="s">
        <v>582</v>
      </c>
      <c r="B18" s="125" t="s">
        <v>1662</v>
      </c>
      <c r="C18" s="110" t="s">
        <v>173</v>
      </c>
      <c r="D18" s="110"/>
      <c r="E18" s="139" t="s">
        <v>1284</v>
      </c>
      <c r="F18" s="140" t="s">
        <v>12</v>
      </c>
      <c r="G18" s="115"/>
      <c r="H18" s="35"/>
      <c r="I18" s="34"/>
      <c r="J18" s="34" t="s">
        <v>1884</v>
      </c>
      <c r="L18" s="34" t="s">
        <v>83</v>
      </c>
      <c r="N18" s="34" t="s">
        <v>60</v>
      </c>
      <c r="R18" s="57"/>
      <c r="S18" s="61" t="str">
        <f t="shared" si="0"/>
        <v>C:\Users\96015\Desktop\EMR Log\</v>
      </c>
      <c r="T18" s="57" t="str">
        <f t="shared" si="1"/>
        <v>C:\Users\96015\Desktop\EMR Log\\.txt</v>
      </c>
      <c r="U18" s="118"/>
      <c r="X18" s="29" t="str">
        <f t="shared" si="2"/>
        <v>C:\Users\96015\Desktop\EMR Log\</v>
      </c>
      <c r="Y18" s="30" t="str">
        <f t="shared" si="3"/>
        <v>C:\Users\96015\Desktop\EMR Log\\.txt</v>
      </c>
      <c r="AB18" s="34"/>
    </row>
    <row r="19" spans="1:37" ht="18.75" x14ac:dyDescent="0.25">
      <c r="A19" s="108" t="s">
        <v>17</v>
      </c>
      <c r="B19" s="125" t="s">
        <v>74</v>
      </c>
      <c r="C19" s="110" t="s">
        <v>156</v>
      </c>
      <c r="D19" s="110"/>
      <c r="E19" s="139" t="s">
        <v>1453</v>
      </c>
      <c r="F19" s="140" t="s">
        <v>441</v>
      </c>
      <c r="G19" s="115"/>
      <c r="H19" s="35"/>
      <c r="I19" s="34"/>
      <c r="J19" s="34" t="s">
        <v>311</v>
      </c>
      <c r="L19" s="34" t="s">
        <v>151</v>
      </c>
      <c r="N19" s="34" t="s">
        <v>59</v>
      </c>
      <c r="R19" s="57"/>
      <c r="S19" s="61" t="str">
        <f t="shared" si="0"/>
        <v>C:\Users\96015\Desktop\EMR Log\</v>
      </c>
      <c r="T19" s="57" t="str">
        <f t="shared" si="1"/>
        <v>C:\Users\96015\Desktop\EMR Log\\.txt</v>
      </c>
      <c r="U19" s="118"/>
      <c r="X19" s="29" t="str">
        <f t="shared" si="2"/>
        <v>C:\Users\96015\Desktop\EMR Log\</v>
      </c>
      <c r="Y19" s="30" t="str">
        <f t="shared" si="3"/>
        <v>C:\Users\96015\Desktop\EMR Log\\.txt</v>
      </c>
      <c r="AB19" s="34"/>
    </row>
    <row r="20" spans="1:37" ht="18.75" x14ac:dyDescent="0.25">
      <c r="A20" s="108" t="s">
        <v>348</v>
      </c>
      <c r="B20" s="125" t="s">
        <v>325</v>
      </c>
      <c r="C20" s="110" t="s">
        <v>174</v>
      </c>
      <c r="D20" s="110"/>
      <c r="E20" s="57" t="s">
        <v>1001</v>
      </c>
      <c r="F20" s="140" t="s">
        <v>1758</v>
      </c>
      <c r="G20" s="115"/>
      <c r="H20" s="35"/>
      <c r="I20" s="34"/>
      <c r="J20" s="34" t="s">
        <v>1655</v>
      </c>
      <c r="L20" s="34" t="s">
        <v>1793</v>
      </c>
      <c r="N20" s="34" t="s">
        <v>1021</v>
      </c>
      <c r="R20" s="57"/>
      <c r="S20" s="61" t="str">
        <f t="shared" si="0"/>
        <v>C:\Users\96015\Desktop\EMR Log\</v>
      </c>
      <c r="T20" s="57" t="str">
        <f t="shared" si="1"/>
        <v>C:\Users\96015\Desktop\EMR Log\\.txt</v>
      </c>
      <c r="U20" s="118"/>
      <c r="X20" s="29" t="str">
        <f t="shared" si="2"/>
        <v>C:\Users\96015\Desktop\EMR Log\</v>
      </c>
      <c r="Y20" s="30" t="str">
        <f t="shared" si="3"/>
        <v>C:\Users\96015\Desktop\EMR Log\\.txt</v>
      </c>
      <c r="AB20" s="34"/>
    </row>
    <row r="21" spans="1:37" ht="18.75" x14ac:dyDescent="0.25">
      <c r="A21" s="108" t="s">
        <v>341</v>
      </c>
      <c r="B21" s="125" t="s">
        <v>750</v>
      </c>
      <c r="C21" s="110" t="s">
        <v>175</v>
      </c>
      <c r="D21" s="110"/>
      <c r="E21" s="57" t="s">
        <v>1575</v>
      </c>
      <c r="F21" s="140" t="s">
        <v>831</v>
      </c>
      <c r="G21" s="115"/>
      <c r="H21" s="35"/>
      <c r="I21" s="34"/>
      <c r="J21" s="34" t="s">
        <v>993</v>
      </c>
      <c r="L21" s="34" t="s">
        <v>1549</v>
      </c>
      <c r="N21" s="34" t="s">
        <v>1022</v>
      </c>
      <c r="R21" s="57"/>
      <c r="S21" s="61" t="str">
        <f t="shared" si="0"/>
        <v>C:\Users\96015\Desktop\EMR Log\</v>
      </c>
      <c r="T21" s="57" t="str">
        <f t="shared" si="1"/>
        <v>C:\Users\96015\Desktop\EMR Log\\.txt</v>
      </c>
      <c r="U21" s="118"/>
      <c r="X21" s="29" t="str">
        <f t="shared" si="2"/>
        <v>C:\Users\96015\Desktop\EMR Log\</v>
      </c>
      <c r="Y21" s="30" t="str">
        <f t="shared" si="3"/>
        <v>C:\Users\96015\Desktop\EMR Log\\.txt</v>
      </c>
      <c r="AB21" s="34"/>
    </row>
    <row r="22" spans="1:37" ht="32.25" customHeight="1" x14ac:dyDescent="0.25">
      <c r="A22" s="108" t="s">
        <v>662</v>
      </c>
      <c r="B22" s="125" t="s">
        <v>75</v>
      </c>
      <c r="C22" s="110" t="s">
        <v>176</v>
      </c>
      <c r="D22" s="110"/>
      <c r="E22" s="57" t="s">
        <v>1290</v>
      </c>
      <c r="F22" s="140" t="s">
        <v>509</v>
      </c>
      <c r="G22" s="116"/>
      <c r="H22" s="35"/>
      <c r="I22" s="34"/>
      <c r="J22" s="34" t="s">
        <v>450</v>
      </c>
      <c r="L22" s="34" t="s">
        <v>1011</v>
      </c>
      <c r="N22" s="34" t="s">
        <v>1563</v>
      </c>
      <c r="R22" s="57"/>
      <c r="S22" s="61" t="str">
        <f t="shared" si="0"/>
        <v>C:\Users\96015\Desktop\EMR Log\</v>
      </c>
      <c r="T22" s="57" t="str">
        <f t="shared" si="1"/>
        <v>C:\Users\96015\Desktop\EMR Log\\.txt</v>
      </c>
      <c r="U22" s="118"/>
      <c r="X22" s="29" t="str">
        <f t="shared" si="2"/>
        <v>C:\Users\96015\Desktop\EMR Log\</v>
      </c>
      <c r="Y22" s="30" t="str">
        <f t="shared" si="3"/>
        <v>C:\Users\96015\Desktop\EMR Log\\.txt</v>
      </c>
      <c r="AB22" s="34"/>
    </row>
    <row r="23" spans="1:37" ht="18.75" x14ac:dyDescent="0.25">
      <c r="A23" s="108" t="s">
        <v>988</v>
      </c>
      <c r="B23" s="125" t="s">
        <v>526</v>
      </c>
      <c r="C23" s="110" t="s">
        <v>177</v>
      </c>
      <c r="D23" s="110"/>
      <c r="E23" s="57" t="s">
        <v>1178</v>
      </c>
      <c r="F23" s="140" t="s">
        <v>84</v>
      </c>
      <c r="G23" s="115"/>
      <c r="H23" s="35"/>
      <c r="I23" s="34"/>
      <c r="J23" s="34" t="s">
        <v>994</v>
      </c>
      <c r="L23" s="34" t="s">
        <v>1572</v>
      </c>
      <c r="N23" s="34" t="s">
        <v>1148</v>
      </c>
      <c r="R23" s="57"/>
      <c r="S23" s="61" t="str">
        <f t="shared" si="0"/>
        <v>C:\Users\96015\Desktop\EMR Log\</v>
      </c>
      <c r="T23" s="57" t="str">
        <f t="shared" si="1"/>
        <v>C:\Users\96015\Desktop\EMR Log\\.txt</v>
      </c>
      <c r="U23" s="118"/>
      <c r="X23" s="29" t="str">
        <f t="shared" si="2"/>
        <v>C:\Users\96015\Desktop\EMR Log\</v>
      </c>
      <c r="Y23" s="30" t="str">
        <f t="shared" si="3"/>
        <v>C:\Users\96015\Desktop\EMR Log\\.txt</v>
      </c>
      <c r="AB23" s="34"/>
    </row>
    <row r="24" spans="1:37" ht="18.75" x14ac:dyDescent="0.25">
      <c r="A24" s="108" t="s">
        <v>1131</v>
      </c>
      <c r="B24" s="125" t="s">
        <v>143</v>
      </c>
      <c r="C24" s="110" t="s">
        <v>178</v>
      </c>
      <c r="D24" s="110"/>
      <c r="E24" s="57" t="s">
        <v>1614</v>
      </c>
      <c r="F24" s="140" t="s">
        <v>1784</v>
      </c>
      <c r="G24" s="115"/>
      <c r="H24" s="35"/>
      <c r="I24" s="34"/>
      <c r="J24" s="34" t="s">
        <v>1718</v>
      </c>
      <c r="L24" s="34" t="s">
        <v>1765</v>
      </c>
      <c r="N24" s="34" t="s">
        <v>414</v>
      </c>
      <c r="R24" s="57"/>
      <c r="S24" s="61" t="str">
        <f t="shared" si="0"/>
        <v>C:\Users\96015\Desktop\EMR Log\</v>
      </c>
      <c r="T24" s="57" t="str">
        <f t="shared" si="1"/>
        <v>C:\Users\96015\Desktop\EMR Log\\.txt</v>
      </c>
      <c r="U24" s="118"/>
      <c r="X24" s="29" t="str">
        <f t="shared" si="2"/>
        <v>C:\Users\96015\Desktop\EMR Log\</v>
      </c>
      <c r="Y24" s="30" t="str">
        <f t="shared" si="3"/>
        <v>C:\Users\96015\Desktop\EMR Log\\.txt</v>
      </c>
      <c r="AB24" s="34"/>
    </row>
    <row r="25" spans="1:37" ht="18.75" x14ac:dyDescent="0.25">
      <c r="A25" s="108" t="s">
        <v>611</v>
      </c>
      <c r="B25" s="125" t="s">
        <v>214</v>
      </c>
      <c r="C25" s="110" t="s">
        <v>157</v>
      </c>
      <c r="D25" s="110"/>
      <c r="E25" s="57" t="s">
        <v>919</v>
      </c>
      <c r="F25" s="140" t="s">
        <v>1874</v>
      </c>
      <c r="G25" s="115"/>
      <c r="H25" s="35"/>
      <c r="I25" s="34"/>
      <c r="J25" s="34" t="s">
        <v>1209</v>
      </c>
      <c r="L25" s="34" t="s">
        <v>65</v>
      </c>
      <c r="N25" s="34" t="s">
        <v>413</v>
      </c>
      <c r="R25" s="57"/>
      <c r="S25" s="61" t="str">
        <f t="shared" si="0"/>
        <v>C:\Users\96015\Desktop\EMR Log\</v>
      </c>
      <c r="T25" s="57" t="str">
        <f t="shared" si="1"/>
        <v>C:\Users\96015\Desktop\EMR Log\\.txt</v>
      </c>
      <c r="U25" s="118"/>
      <c r="X25" s="29" t="str">
        <f t="shared" si="2"/>
        <v>C:\Users\96015\Desktop\EMR Log\</v>
      </c>
      <c r="Y25" s="30" t="str">
        <f t="shared" si="3"/>
        <v>C:\Users\96015\Desktop\EMR Log\\.txt</v>
      </c>
      <c r="AB25" s="34"/>
    </row>
    <row r="26" spans="1:37" x14ac:dyDescent="0.25">
      <c r="A26" s="110" t="s">
        <v>12</v>
      </c>
      <c r="B26" s="109" t="s">
        <v>140</v>
      </c>
      <c r="C26" s="110" t="s">
        <v>158</v>
      </c>
      <c r="D26" s="110"/>
      <c r="E26" s="57" t="s">
        <v>937</v>
      </c>
      <c r="F26" s="140"/>
      <c r="G26" s="115"/>
      <c r="H26" s="35"/>
      <c r="I26" s="34"/>
      <c r="J26" s="34" t="s">
        <v>70</v>
      </c>
      <c r="L26" s="34" t="s">
        <v>1012</v>
      </c>
      <c r="N26" s="34" t="s">
        <v>285</v>
      </c>
      <c r="R26" s="57"/>
      <c r="S26" s="61" t="str">
        <f t="shared" si="0"/>
        <v>C:\Users\96015\Desktop\EMR Log\</v>
      </c>
      <c r="T26" s="57" t="str">
        <f t="shared" si="1"/>
        <v>C:\Users\96015\Desktop\EMR Log\\.txt</v>
      </c>
      <c r="U26" s="118"/>
      <c r="X26" s="29" t="str">
        <f t="shared" si="2"/>
        <v>C:\Users\96015\Desktop\EMR Log\</v>
      </c>
      <c r="Y26" s="30" t="str">
        <f t="shared" si="3"/>
        <v>C:\Users\96015\Desktop\EMR Log\\.txt</v>
      </c>
      <c r="Z26" s="58"/>
      <c r="AA26" s="58"/>
      <c r="AB26" s="34"/>
      <c r="AC26" s="58"/>
      <c r="AE26" s="58"/>
      <c r="AF26" s="58"/>
      <c r="AG26" s="58"/>
      <c r="AH26" s="58"/>
      <c r="AI26" s="58"/>
      <c r="AJ26" s="58"/>
      <c r="AK26" s="58"/>
    </row>
    <row r="27" spans="1:37" ht="18.75" x14ac:dyDescent="0.25">
      <c r="A27" s="108" t="s">
        <v>517</v>
      </c>
      <c r="B27" s="109" t="s">
        <v>149</v>
      </c>
      <c r="C27" s="110" t="s">
        <v>159</v>
      </c>
      <c r="D27" s="110"/>
      <c r="E27" s="57" t="s">
        <v>1353</v>
      </c>
      <c r="F27" s="140"/>
      <c r="G27" s="115"/>
      <c r="H27" s="35"/>
      <c r="I27" s="34"/>
      <c r="J27" s="34" t="s">
        <v>69</v>
      </c>
      <c r="L27" s="34" t="s">
        <v>1547</v>
      </c>
      <c r="N27" s="34"/>
      <c r="R27" s="57"/>
      <c r="S27" s="61" t="str">
        <f t="shared" si="0"/>
        <v>C:\Users\96015\Desktop\EMR Log\</v>
      </c>
      <c r="T27" s="57" t="str">
        <f t="shared" si="1"/>
        <v>C:\Users\96015\Desktop\EMR Log\\.txt</v>
      </c>
      <c r="U27" s="118"/>
      <c r="X27" s="29" t="str">
        <f t="shared" si="2"/>
        <v>C:\Users\96015\Desktop\EMR Log\</v>
      </c>
      <c r="Y27" s="30" t="str">
        <f t="shared" si="3"/>
        <v>C:\Users\96015\Desktop\EMR Log\\.txt</v>
      </c>
      <c r="AB27" s="34"/>
    </row>
    <row r="28" spans="1:37" ht="18.75" x14ac:dyDescent="0.25">
      <c r="A28" s="108" t="s">
        <v>774</v>
      </c>
      <c r="B28" s="109" t="s">
        <v>823</v>
      </c>
      <c r="C28" s="110" t="s">
        <v>160</v>
      </c>
      <c r="D28" s="110"/>
      <c r="E28" s="57" t="s">
        <v>1143</v>
      </c>
      <c r="F28" s="140"/>
      <c r="G28" s="115"/>
      <c r="H28" s="35"/>
      <c r="I28" s="34"/>
      <c r="J28" s="34" t="s">
        <v>995</v>
      </c>
      <c r="L28" s="34" t="s">
        <v>1636</v>
      </c>
      <c r="N28" s="34"/>
      <c r="R28" s="57"/>
      <c r="S28" s="61" t="str">
        <f t="shared" si="0"/>
        <v>C:\Users\96015\Desktop\EMR Log\</v>
      </c>
      <c r="T28" s="57" t="str">
        <f t="shared" si="1"/>
        <v>C:\Users\96015\Desktop\EMR Log\\.txt</v>
      </c>
      <c r="U28" s="118"/>
      <c r="X28" s="29" t="str">
        <f t="shared" si="2"/>
        <v>C:\Users\96015\Desktop\EMR Log\</v>
      </c>
      <c r="Y28" s="30" t="str">
        <f t="shared" si="3"/>
        <v>C:\Users\96015\Desktop\EMR Log\\.txt</v>
      </c>
      <c r="AB28" s="34"/>
    </row>
    <row r="29" spans="1:37" ht="18.75" x14ac:dyDescent="0.25">
      <c r="A29" s="108" t="s">
        <v>1844</v>
      </c>
      <c r="B29" s="109" t="s">
        <v>212</v>
      </c>
      <c r="C29" s="110" t="s">
        <v>161</v>
      </c>
      <c r="D29" s="110"/>
      <c r="E29" s="57" t="s">
        <v>1320</v>
      </c>
      <c r="F29" s="140"/>
      <c r="G29" s="115"/>
      <c r="H29" s="35"/>
      <c r="I29" s="34"/>
      <c r="J29" s="34" t="s">
        <v>996</v>
      </c>
      <c r="L29" s="34" t="s">
        <v>1568</v>
      </c>
      <c r="N29" s="34"/>
      <c r="R29" s="57"/>
      <c r="S29" s="61" t="str">
        <f t="shared" si="0"/>
        <v>C:\Users\96015\Desktop\EMR Log\</v>
      </c>
      <c r="T29" s="57" t="str">
        <f t="shared" si="1"/>
        <v>C:\Users\96015\Desktop\EMR Log\\.txt</v>
      </c>
      <c r="U29" s="118"/>
      <c r="X29" s="29" t="str">
        <f t="shared" si="2"/>
        <v>C:\Users\96015\Desktop\EMR Log\</v>
      </c>
      <c r="Y29" s="30" t="str">
        <f t="shared" si="3"/>
        <v>C:\Users\96015\Desktop\EMR Log\\.txt</v>
      </c>
      <c r="AB29" s="34"/>
    </row>
    <row r="30" spans="1:37" ht="18.75" x14ac:dyDescent="0.25">
      <c r="A30" s="108" t="s">
        <v>441</v>
      </c>
      <c r="B30" s="109" t="s">
        <v>85</v>
      </c>
      <c r="C30" s="110" t="s">
        <v>162</v>
      </c>
      <c r="D30" s="110"/>
      <c r="E30" s="57" t="s">
        <v>1513</v>
      </c>
      <c r="F30" s="140"/>
      <c r="G30" s="115"/>
      <c r="H30" s="35"/>
      <c r="I30" s="34"/>
      <c r="J30" s="34" t="s">
        <v>997</v>
      </c>
      <c r="L30" s="34" t="s">
        <v>1645</v>
      </c>
      <c r="N30" s="34"/>
      <c r="R30" s="57"/>
      <c r="S30" s="61" t="str">
        <f t="shared" si="0"/>
        <v>C:\Users\96015\Desktop\EMR Log\</v>
      </c>
      <c r="T30" s="57" t="str">
        <f t="shared" si="1"/>
        <v>C:\Users\96015\Desktop\EMR Log\\.txt</v>
      </c>
      <c r="U30" s="118"/>
      <c r="X30" s="29" t="str">
        <f t="shared" si="2"/>
        <v>C:\Users\96015\Desktop\EMR Log\</v>
      </c>
      <c r="Y30" s="30" t="str">
        <f t="shared" si="3"/>
        <v>C:\Users\96015\Desktop\EMR Log\\.txt</v>
      </c>
      <c r="AB30" s="34"/>
    </row>
    <row r="31" spans="1:37" ht="18.75" x14ac:dyDescent="0.25">
      <c r="A31" s="108" t="s">
        <v>109</v>
      </c>
      <c r="B31" s="109" t="s">
        <v>72</v>
      </c>
      <c r="C31" s="110" t="s">
        <v>163</v>
      </c>
      <c r="D31" s="110"/>
      <c r="E31" s="57" t="s">
        <v>964</v>
      </c>
      <c r="F31" s="140"/>
      <c r="G31" s="115"/>
      <c r="H31" s="35"/>
      <c r="I31" s="34"/>
      <c r="J31" s="34" t="s">
        <v>1731</v>
      </c>
      <c r="L31" s="34" t="s">
        <v>1753</v>
      </c>
      <c r="N31" s="34"/>
      <c r="R31" s="57"/>
      <c r="S31" s="61" t="str">
        <f t="shared" si="0"/>
        <v>C:\Users\96015\Desktop\EMR Log\</v>
      </c>
      <c r="T31" s="57" t="str">
        <f t="shared" si="1"/>
        <v>C:\Users\96015\Desktop\EMR Log\\.txt</v>
      </c>
      <c r="U31" s="118"/>
      <c r="X31" s="29" t="str">
        <f t="shared" si="2"/>
        <v>C:\Users\96015\Desktop\EMR Log\</v>
      </c>
      <c r="Y31" s="30" t="str">
        <f t="shared" si="3"/>
        <v>C:\Users\96015\Desktop\EMR Log\\.txt</v>
      </c>
      <c r="AB31" s="34"/>
    </row>
    <row r="32" spans="1:37" x14ac:dyDescent="0.25">
      <c r="A32" s="110" t="s">
        <v>148</v>
      </c>
      <c r="B32" s="109" t="s">
        <v>213</v>
      </c>
      <c r="C32" s="110" t="s">
        <v>622</v>
      </c>
      <c r="D32" s="110"/>
      <c r="E32" s="57" t="s">
        <v>1403</v>
      </c>
      <c r="F32" s="140"/>
      <c r="G32" s="115"/>
      <c r="H32" s="35"/>
      <c r="I32" s="34"/>
      <c r="J32" s="34" t="s">
        <v>1759</v>
      </c>
      <c r="L32" s="34" t="s">
        <v>1651</v>
      </c>
      <c r="N32" s="34"/>
      <c r="R32" s="57"/>
      <c r="S32" s="61" t="str">
        <f t="shared" si="0"/>
        <v>C:\Users\96015\Desktop\EMR Log\</v>
      </c>
      <c r="T32" s="57" t="str">
        <f t="shared" si="1"/>
        <v>C:\Users\96015\Desktop\EMR Log\\.txt</v>
      </c>
      <c r="U32" s="118"/>
      <c r="X32" s="29" t="str">
        <f t="shared" si="2"/>
        <v>C:\Users\96015\Desktop\EMR Log\</v>
      </c>
      <c r="Y32" s="30" t="str">
        <f t="shared" si="3"/>
        <v>C:\Users\96015\Desktop\EMR Log\\.txt</v>
      </c>
      <c r="AB32" s="34"/>
      <c r="AD32" s="58"/>
    </row>
    <row r="33" spans="1:28" x14ac:dyDescent="0.25">
      <c r="A33" s="110" t="s">
        <v>13</v>
      </c>
      <c r="B33" s="109" t="s">
        <v>86</v>
      </c>
      <c r="C33" s="110" t="s">
        <v>393</v>
      </c>
      <c r="D33" s="110"/>
      <c r="E33" s="57" t="s">
        <v>1476</v>
      </c>
      <c r="F33" s="140"/>
      <c r="G33" s="115"/>
      <c r="H33" s="35"/>
      <c r="I33" s="34"/>
      <c r="J33" s="34" t="s">
        <v>636</v>
      </c>
      <c r="L33" s="34" t="s">
        <v>1720</v>
      </c>
      <c r="N33" s="34"/>
      <c r="R33" s="57"/>
      <c r="S33" s="61" t="str">
        <f t="shared" si="0"/>
        <v>C:\Users\96015\Desktop\EMR Log\</v>
      </c>
      <c r="T33" s="57" t="str">
        <f t="shared" si="1"/>
        <v>C:\Users\96015\Desktop\EMR Log\\.txt</v>
      </c>
      <c r="U33" s="118"/>
      <c r="X33" s="29" t="str">
        <f t="shared" si="2"/>
        <v>C:\Users\96015\Desktop\EMR Log\</v>
      </c>
      <c r="Y33" s="30" t="str">
        <f t="shared" si="3"/>
        <v>C:\Users\96015\Desktop\EMR Log\\.txt</v>
      </c>
      <c r="AB33" s="34"/>
    </row>
    <row r="34" spans="1:28" x14ac:dyDescent="0.25">
      <c r="A34" s="110" t="s">
        <v>1590</v>
      </c>
      <c r="B34" s="109" t="s">
        <v>923</v>
      </c>
      <c r="C34" s="110" t="s">
        <v>656</v>
      </c>
      <c r="D34" s="110"/>
      <c r="E34" s="57" t="s">
        <v>915</v>
      </c>
      <c r="F34" s="140"/>
      <c r="G34" s="115"/>
      <c r="H34" s="35"/>
      <c r="I34" s="34"/>
      <c r="J34" s="34" t="s">
        <v>998</v>
      </c>
      <c r="L34" s="34" t="s">
        <v>64</v>
      </c>
      <c r="N34" s="34"/>
      <c r="R34" s="57"/>
      <c r="S34" s="61" t="str">
        <f t="shared" si="0"/>
        <v>C:\Users\96015\Desktop\EMR Log\</v>
      </c>
      <c r="T34" s="57" t="str">
        <f t="shared" si="1"/>
        <v>C:\Users\96015\Desktop\EMR Log\\.txt</v>
      </c>
      <c r="U34" s="118"/>
      <c r="X34" s="29" t="str">
        <f t="shared" ref="X34:X65" si="4">CONCATENATE("C:\Users\96015\Desktop\EMR Log\",W34)</f>
        <v>C:\Users\96015\Desktop\EMR Log\</v>
      </c>
      <c r="Y34" s="30" t="str">
        <f t="shared" ref="Y34:Y65" si="5">CONCATENATE("C:\Users\96015\Desktop\EMR Log\",W34,"\", W34,".txt")</f>
        <v>C:\Users\96015\Desktop\EMR Log\\.txt</v>
      </c>
      <c r="AB34" s="34"/>
    </row>
    <row r="35" spans="1:28" x14ac:dyDescent="0.25">
      <c r="A35" s="110" t="s">
        <v>807</v>
      </c>
      <c r="B35" s="109" t="s">
        <v>537</v>
      </c>
      <c r="C35" s="110" t="s">
        <v>657</v>
      </c>
      <c r="D35" s="110"/>
      <c r="E35" s="57" t="s">
        <v>1276</v>
      </c>
      <c r="F35" s="140"/>
      <c r="G35" s="115"/>
      <c r="H35" s="35"/>
      <c r="I35" s="34"/>
      <c r="J35" s="34" t="s">
        <v>999</v>
      </c>
      <c r="L35" s="34" t="s">
        <v>1013</v>
      </c>
      <c r="N35" s="34"/>
      <c r="R35" s="57"/>
      <c r="S35" s="61" t="str">
        <f t="shared" si="0"/>
        <v>C:\Users\96015\Desktop\EMR Log\</v>
      </c>
      <c r="T35" s="57" t="str">
        <f t="shared" si="1"/>
        <v>C:\Users\96015\Desktop\EMR Log\\.txt</v>
      </c>
      <c r="U35" s="118"/>
      <c r="X35" s="29" t="str">
        <f t="shared" si="4"/>
        <v>C:\Users\96015\Desktop\EMR Log\</v>
      </c>
      <c r="Y35" s="30" t="str">
        <f t="shared" si="5"/>
        <v>C:\Users\96015\Desktop\EMR Log\\.txt</v>
      </c>
      <c r="AB35" s="34"/>
    </row>
    <row r="36" spans="1:28" x14ac:dyDescent="0.25">
      <c r="A36" s="110" t="s">
        <v>137</v>
      </c>
      <c r="B36" s="109" t="s">
        <v>305</v>
      </c>
      <c r="C36" s="110" t="s">
        <v>658</v>
      </c>
      <c r="D36" s="110"/>
      <c r="E36" s="57" t="s">
        <v>1344</v>
      </c>
      <c r="F36" s="140"/>
      <c r="G36" s="115"/>
      <c r="H36" s="35"/>
      <c r="I36" s="34"/>
      <c r="J36" s="34" t="s">
        <v>1725</v>
      </c>
      <c r="L36" s="34" t="s">
        <v>953</v>
      </c>
      <c r="N36" s="34"/>
      <c r="R36" s="57"/>
      <c r="S36" s="61" t="str">
        <f t="shared" si="0"/>
        <v>C:\Users\96015\Desktop\EMR Log\</v>
      </c>
      <c r="T36" s="57" t="str">
        <f t="shared" si="1"/>
        <v>C:\Users\96015\Desktop\EMR Log\\.txt</v>
      </c>
      <c r="U36" s="118"/>
      <c r="X36" s="29" t="str">
        <f t="shared" si="4"/>
        <v>C:\Users\96015\Desktop\EMR Log\</v>
      </c>
      <c r="Y36" s="30" t="str">
        <f t="shared" si="5"/>
        <v>C:\Users\96015\Desktop\EMR Log\\.txt</v>
      </c>
      <c r="AB36" s="34"/>
    </row>
    <row r="37" spans="1:28" x14ac:dyDescent="0.25">
      <c r="A37" s="110" t="s">
        <v>1166</v>
      </c>
      <c r="B37" s="109" t="s">
        <v>187</v>
      </c>
      <c r="C37" s="110" t="s">
        <v>659</v>
      </c>
      <c r="D37" s="110"/>
      <c r="E37" s="57" t="s">
        <v>1266</v>
      </c>
      <c r="F37" s="140"/>
      <c r="G37" s="115"/>
      <c r="H37" s="35"/>
      <c r="I37" s="34"/>
      <c r="J37" s="34" t="s">
        <v>1016</v>
      </c>
      <c r="L37" s="34" t="s">
        <v>150</v>
      </c>
      <c r="N37" s="34"/>
      <c r="R37" s="57"/>
      <c r="S37" s="61" t="str">
        <f t="shared" si="0"/>
        <v>C:\Users\96015\Desktop\EMR Log\</v>
      </c>
      <c r="T37" s="57" t="str">
        <f t="shared" si="1"/>
        <v>C:\Users\96015\Desktop\EMR Log\\.txt</v>
      </c>
      <c r="U37" s="118"/>
      <c r="X37" s="29" t="str">
        <f t="shared" si="4"/>
        <v>C:\Users\96015\Desktop\EMR Log\</v>
      </c>
      <c r="Y37" s="30" t="str">
        <f t="shared" si="5"/>
        <v>C:\Users\96015\Desktop\EMR Log\\.txt</v>
      </c>
      <c r="AB37" s="34"/>
    </row>
    <row r="38" spans="1:28" x14ac:dyDescent="0.25">
      <c r="A38" s="110"/>
      <c r="B38" s="109" t="s">
        <v>1242</v>
      </c>
      <c r="C38" s="110" t="s">
        <v>660</v>
      </c>
      <c r="D38" s="110"/>
      <c r="E38" s="57" t="s">
        <v>1503</v>
      </c>
      <c r="F38" s="140"/>
      <c r="G38" s="115"/>
      <c r="H38" s="35"/>
      <c r="I38" s="34"/>
      <c r="J38" s="34" t="s">
        <v>1797</v>
      </c>
      <c r="L38" s="34" t="s">
        <v>1542</v>
      </c>
      <c r="N38" s="34"/>
      <c r="R38" s="57"/>
      <c r="S38" s="61" t="str">
        <f t="shared" si="0"/>
        <v>C:\Users\96015\Desktop\EMR Log\</v>
      </c>
      <c r="T38" s="57" t="str">
        <f t="shared" si="1"/>
        <v>C:\Users\96015\Desktop\EMR Log\\.txt</v>
      </c>
      <c r="U38" s="118"/>
      <c r="X38" s="29" t="str">
        <f t="shared" si="4"/>
        <v>C:\Users\96015\Desktop\EMR Log\</v>
      </c>
      <c r="Y38" s="30" t="str">
        <f t="shared" si="5"/>
        <v>C:\Users\96015\Desktop\EMR Log\\.txt</v>
      </c>
      <c r="AB38" s="34"/>
    </row>
    <row r="39" spans="1:28" x14ac:dyDescent="0.25">
      <c r="A39" s="110"/>
      <c r="B39" s="109" t="s">
        <v>1115</v>
      </c>
      <c r="C39" s="110" t="s">
        <v>555</v>
      </c>
      <c r="D39" s="110"/>
      <c r="E39" s="57" t="s">
        <v>1495</v>
      </c>
      <c r="F39" s="140"/>
      <c r="G39" s="115"/>
      <c r="H39" s="35"/>
      <c r="I39" s="34"/>
      <c r="J39" s="34" t="s">
        <v>285</v>
      </c>
      <c r="L39" s="34" t="s">
        <v>1796</v>
      </c>
      <c r="N39" s="34"/>
      <c r="R39" s="57"/>
      <c r="S39" s="61" t="str">
        <f t="shared" si="0"/>
        <v>C:\Users\96015\Desktop\EMR Log\</v>
      </c>
      <c r="T39" s="57" t="str">
        <f t="shared" si="1"/>
        <v>C:\Users\96015\Desktop\EMR Log\\.txt</v>
      </c>
      <c r="U39" s="118"/>
      <c r="X39" s="29" t="str">
        <f t="shared" si="4"/>
        <v>C:\Users\96015\Desktop\EMR Log\</v>
      </c>
      <c r="Y39" s="30" t="str">
        <f t="shared" si="5"/>
        <v>C:\Users\96015\Desktop\EMR Log\\.txt</v>
      </c>
      <c r="AB39" s="34"/>
    </row>
    <row r="40" spans="1:28" x14ac:dyDescent="0.25">
      <c r="A40" s="110"/>
      <c r="B40" s="109" t="s">
        <v>324</v>
      </c>
      <c r="C40" s="110" t="s">
        <v>556</v>
      </c>
      <c r="D40" s="110"/>
      <c r="E40" s="57" t="s">
        <v>1081</v>
      </c>
      <c r="F40" s="140"/>
      <c r="G40" s="115"/>
      <c r="H40" s="35"/>
      <c r="I40" s="34"/>
      <c r="J40" s="34" t="s">
        <v>416</v>
      </c>
      <c r="L40" s="34" t="s">
        <v>1654</v>
      </c>
      <c r="N40" s="34"/>
      <c r="R40" s="57"/>
      <c r="S40" s="61" t="str">
        <f t="shared" si="0"/>
        <v>C:\Users\96015\Desktop\EMR Log\</v>
      </c>
      <c r="T40" s="57" t="str">
        <f t="shared" si="1"/>
        <v>C:\Users\96015\Desktop\EMR Log\\.txt</v>
      </c>
      <c r="U40" s="118"/>
      <c r="X40" s="29" t="str">
        <f t="shared" si="4"/>
        <v>C:\Users\96015\Desktop\EMR Log\</v>
      </c>
      <c r="Y40" s="30" t="str">
        <f t="shared" si="5"/>
        <v>C:\Users\96015\Desktop\EMR Log\\.txt</v>
      </c>
      <c r="AB40" s="34"/>
    </row>
    <row r="41" spans="1:28" x14ac:dyDescent="0.25">
      <c r="A41" s="110"/>
      <c r="B41" s="109" t="s">
        <v>76</v>
      </c>
      <c r="C41" s="110" t="s">
        <v>554</v>
      </c>
      <c r="D41" s="110"/>
      <c r="E41" s="57" t="s">
        <v>1627</v>
      </c>
      <c r="F41" s="140"/>
      <c r="G41" s="115"/>
      <c r="H41" s="35"/>
      <c r="I41" s="34"/>
      <c r="J41" s="34" t="s">
        <v>1652</v>
      </c>
      <c r="L41" s="34" t="s">
        <v>1231</v>
      </c>
      <c r="N41" s="34"/>
      <c r="R41" s="57"/>
      <c r="S41" s="61" t="str">
        <f t="shared" si="0"/>
        <v>C:\Users\96015\Desktop\EMR Log\</v>
      </c>
      <c r="T41" s="57" t="str">
        <f t="shared" si="1"/>
        <v>C:\Users\96015\Desktop\EMR Log\\.txt</v>
      </c>
      <c r="U41" s="118"/>
      <c r="X41" s="29" t="str">
        <f t="shared" si="4"/>
        <v>C:\Users\96015\Desktop\EMR Log\</v>
      </c>
      <c r="Y41" s="30" t="str">
        <f t="shared" si="5"/>
        <v>C:\Users\96015\Desktop\EMR Log\\.txt</v>
      </c>
      <c r="AB41" s="34"/>
    </row>
    <row r="42" spans="1:28" x14ac:dyDescent="0.25">
      <c r="A42" s="110"/>
      <c r="B42" s="109" t="s">
        <v>623</v>
      </c>
      <c r="C42" s="110" t="s">
        <v>543</v>
      </c>
      <c r="D42" s="110"/>
      <c r="E42" s="57" t="s">
        <v>1116</v>
      </c>
      <c r="F42" s="140"/>
      <c r="G42" s="115"/>
      <c r="H42" s="35"/>
      <c r="I42" s="34"/>
      <c r="J42" s="34" t="s">
        <v>1000</v>
      </c>
      <c r="L42" s="34" t="s">
        <v>66</v>
      </c>
      <c r="N42" s="34"/>
      <c r="R42" s="57"/>
      <c r="S42" s="61" t="str">
        <f t="shared" si="0"/>
        <v>C:\Users\96015\Desktop\EMR Log\</v>
      </c>
      <c r="T42" s="57" t="str">
        <f t="shared" si="1"/>
        <v>C:\Users\96015\Desktop\EMR Log\\.txt</v>
      </c>
      <c r="X42" s="29" t="str">
        <f t="shared" si="4"/>
        <v>C:\Users\96015\Desktop\EMR Log\</v>
      </c>
      <c r="Y42" s="30" t="str">
        <f t="shared" si="5"/>
        <v>C:\Users\96015\Desktop\EMR Log\\.txt</v>
      </c>
      <c r="AB42" s="34"/>
    </row>
    <row r="43" spans="1:28" x14ac:dyDescent="0.25">
      <c r="A43" s="110"/>
      <c r="B43" s="109" t="s">
        <v>147</v>
      </c>
      <c r="C43" s="110" t="s">
        <v>179</v>
      </c>
      <c r="D43" s="110"/>
      <c r="E43" s="57" t="s">
        <v>1391</v>
      </c>
      <c r="F43" s="140"/>
      <c r="G43" s="115"/>
      <c r="H43" s="35"/>
      <c r="I43" s="34"/>
      <c r="J43" s="34" t="s">
        <v>1658</v>
      </c>
      <c r="L43" s="34" t="s">
        <v>1014</v>
      </c>
      <c r="N43" s="34"/>
      <c r="R43" s="57"/>
      <c r="S43" s="61" t="str">
        <f t="shared" si="0"/>
        <v>C:\Users\96015\Desktop\EMR Log\</v>
      </c>
      <c r="T43" s="57" t="str">
        <f t="shared" si="1"/>
        <v>C:\Users\96015\Desktop\EMR Log\\.txt</v>
      </c>
      <c r="X43" s="29" t="str">
        <f t="shared" si="4"/>
        <v>C:\Users\96015\Desktop\EMR Log\</v>
      </c>
      <c r="Y43" s="30" t="str">
        <f t="shared" si="5"/>
        <v>C:\Users\96015\Desktop\EMR Log\\.txt</v>
      </c>
      <c r="AB43" s="34"/>
    </row>
    <row r="44" spans="1:28" x14ac:dyDescent="0.25">
      <c r="A44" s="110"/>
      <c r="B44" s="109" t="s">
        <v>570</v>
      </c>
      <c r="C44" s="110" t="s">
        <v>180</v>
      </c>
      <c r="D44" s="110"/>
      <c r="E44" s="57" t="s">
        <v>285</v>
      </c>
      <c r="F44" s="140"/>
      <c r="G44" s="115"/>
      <c r="H44" s="35"/>
      <c r="I44" s="34"/>
      <c r="J44" s="34"/>
      <c r="L44" s="34" t="s">
        <v>1015</v>
      </c>
      <c r="N44" s="34"/>
      <c r="R44" s="57"/>
      <c r="S44" s="61" t="str">
        <f t="shared" si="0"/>
        <v>C:\Users\96015\Desktop\EMR Log\</v>
      </c>
      <c r="T44" s="57" t="str">
        <f t="shared" si="1"/>
        <v>C:\Users\96015\Desktop\EMR Log\\.txt</v>
      </c>
      <c r="X44" s="29" t="str">
        <f t="shared" si="4"/>
        <v>C:\Users\96015\Desktop\EMR Log\</v>
      </c>
      <c r="Y44" s="30" t="str">
        <f t="shared" si="5"/>
        <v>C:\Users\96015\Desktop\EMR Log\\.txt</v>
      </c>
      <c r="AB44" s="34"/>
    </row>
    <row r="45" spans="1:28" x14ac:dyDescent="0.25">
      <c r="A45" s="110"/>
      <c r="B45" s="109" t="s">
        <v>803</v>
      </c>
      <c r="C45" s="110" t="s">
        <v>181</v>
      </c>
      <c r="D45" s="110"/>
      <c r="E45" s="139" t="s">
        <v>1500</v>
      </c>
      <c r="F45" s="140"/>
      <c r="G45" s="115"/>
      <c r="H45" s="35"/>
      <c r="I45" s="34"/>
      <c r="J45" s="34"/>
      <c r="L45" s="34" t="s">
        <v>1672</v>
      </c>
      <c r="N45" s="34"/>
      <c r="R45" s="57"/>
      <c r="S45" s="61" t="str">
        <f t="shared" si="0"/>
        <v>C:\Users\96015\Desktop\EMR Log\</v>
      </c>
      <c r="T45" s="57" t="str">
        <f t="shared" si="1"/>
        <v>C:\Users\96015\Desktop\EMR Log\\.txt</v>
      </c>
      <c r="X45" s="29" t="str">
        <f t="shared" si="4"/>
        <v>C:\Users\96015\Desktop\EMR Log\</v>
      </c>
      <c r="Y45" s="30" t="str">
        <f t="shared" si="5"/>
        <v>C:\Users\96015\Desktop\EMR Log\\.txt</v>
      </c>
      <c r="AB45" s="34"/>
    </row>
    <row r="46" spans="1:28" x14ac:dyDescent="0.25">
      <c r="A46" s="110"/>
      <c r="B46" s="109" t="s">
        <v>697</v>
      </c>
      <c r="C46" s="110" t="s">
        <v>182</v>
      </c>
      <c r="D46" s="110"/>
      <c r="E46" s="139" t="s">
        <v>84</v>
      </c>
      <c r="F46" s="140"/>
      <c r="G46" s="115"/>
      <c r="H46" s="35"/>
      <c r="I46" s="34"/>
      <c r="J46" s="34"/>
      <c r="L46" s="34" t="s">
        <v>80</v>
      </c>
      <c r="N46" s="34"/>
      <c r="R46" s="57"/>
      <c r="S46" s="61" t="str">
        <f t="shared" si="0"/>
        <v>C:\Users\96015\Desktop\EMR Log\</v>
      </c>
      <c r="T46" s="57" t="str">
        <f t="shared" si="1"/>
        <v>C:\Users\96015\Desktop\EMR Log\\.txt</v>
      </c>
      <c r="X46" s="29" t="str">
        <f t="shared" si="4"/>
        <v>C:\Users\96015\Desktop\EMR Log\</v>
      </c>
      <c r="Y46" s="30" t="str">
        <f t="shared" si="5"/>
        <v>C:\Users\96015\Desktop\EMR Log\\.txt</v>
      </c>
      <c r="AB46" s="34"/>
    </row>
    <row r="47" spans="1:28" x14ac:dyDescent="0.25">
      <c r="A47" s="110"/>
      <c r="B47" s="109" t="s">
        <v>951</v>
      </c>
      <c r="C47" s="110" t="s">
        <v>183</v>
      </c>
      <c r="D47" s="110"/>
      <c r="E47" s="57" t="s">
        <v>927</v>
      </c>
      <c r="F47" s="140"/>
      <c r="G47" s="115"/>
      <c r="H47" s="35"/>
      <c r="I47" s="34"/>
      <c r="J47" s="34"/>
      <c r="L47" s="34" t="s">
        <v>1713</v>
      </c>
      <c r="N47" s="34"/>
      <c r="R47" s="57"/>
      <c r="S47" s="61" t="str">
        <f t="shared" si="0"/>
        <v>C:\Users\96015\Desktop\EMR Log\</v>
      </c>
      <c r="T47" s="57" t="str">
        <f t="shared" si="1"/>
        <v>C:\Users\96015\Desktop\EMR Log\\.txt</v>
      </c>
      <c r="X47" s="29" t="str">
        <f t="shared" si="4"/>
        <v>C:\Users\96015\Desktop\EMR Log\</v>
      </c>
      <c r="Y47" s="30" t="str">
        <f t="shared" si="5"/>
        <v>C:\Users\96015\Desktop\EMR Log\\.txt</v>
      </c>
      <c r="AB47" s="34"/>
    </row>
    <row r="48" spans="1:28" x14ac:dyDescent="0.25">
      <c r="A48" s="110"/>
      <c r="B48" s="109" t="s">
        <v>773</v>
      </c>
      <c r="C48" s="110" t="s">
        <v>184</v>
      </c>
      <c r="D48" s="110"/>
      <c r="E48" s="57" t="s">
        <v>1000</v>
      </c>
      <c r="F48" s="140"/>
      <c r="G48" s="115"/>
      <c r="H48" s="35"/>
      <c r="I48" s="34"/>
      <c r="J48" s="34"/>
      <c r="L48" s="34" t="s">
        <v>1016</v>
      </c>
      <c r="N48" s="34"/>
      <c r="R48" s="57"/>
      <c r="S48" s="61" t="str">
        <f t="shared" si="0"/>
        <v>C:\Users\96015\Desktop\EMR Log\</v>
      </c>
      <c r="T48" s="57" t="str">
        <f t="shared" si="1"/>
        <v>C:\Users\96015\Desktop\EMR Log\\.txt</v>
      </c>
      <c r="X48" s="29" t="str">
        <f t="shared" si="4"/>
        <v>C:\Users\96015\Desktop\EMR Log\</v>
      </c>
      <c r="Y48" s="30" t="str">
        <f t="shared" si="5"/>
        <v>C:\Users\96015\Desktop\EMR Log\\.txt</v>
      </c>
      <c r="AB48" s="34"/>
    </row>
    <row r="49" spans="1:28" x14ac:dyDescent="0.25">
      <c r="A49" s="110"/>
      <c r="B49" s="109" t="s">
        <v>140</v>
      </c>
      <c r="C49" s="110" t="s">
        <v>577</v>
      </c>
      <c r="D49" s="110"/>
      <c r="E49" s="139" t="s">
        <v>1492</v>
      </c>
      <c r="F49" s="140"/>
      <c r="G49" s="115"/>
      <c r="H49" s="35"/>
      <c r="I49" s="34"/>
      <c r="J49" s="34"/>
      <c r="L49" s="34" t="s">
        <v>285</v>
      </c>
      <c r="N49" s="34"/>
      <c r="R49" s="57"/>
      <c r="S49" s="61" t="str">
        <f t="shared" si="0"/>
        <v>C:\Users\96015\Desktop\EMR Log\</v>
      </c>
      <c r="T49" s="57" t="str">
        <f t="shared" si="1"/>
        <v>C:\Users\96015\Desktop\EMR Log\\.txt</v>
      </c>
      <c r="X49" s="29" t="str">
        <f t="shared" si="4"/>
        <v>C:\Users\96015\Desktop\EMR Log\</v>
      </c>
      <c r="Y49" s="30" t="str">
        <f t="shared" si="5"/>
        <v>C:\Users\96015\Desktop\EMR Log\\.txt</v>
      </c>
      <c r="AB49" s="34"/>
    </row>
    <row r="50" spans="1:28" ht="30" x14ac:dyDescent="0.25">
      <c r="A50" s="110"/>
      <c r="B50" s="109" t="s">
        <v>1343</v>
      </c>
      <c r="C50" s="110" t="s">
        <v>445</v>
      </c>
      <c r="D50" s="110"/>
      <c r="E50" s="139" t="s">
        <v>972</v>
      </c>
      <c r="F50" s="140"/>
      <c r="G50" s="115"/>
      <c r="H50" s="35"/>
      <c r="I50" s="34"/>
      <c r="J50" s="34"/>
      <c r="L50" s="34" t="s">
        <v>1596</v>
      </c>
      <c r="N50" s="34"/>
      <c r="R50" s="57"/>
      <c r="S50" s="61" t="str">
        <f t="shared" si="0"/>
        <v>C:\Users\96015\Desktop\EMR Log\</v>
      </c>
      <c r="T50" s="57" t="str">
        <f t="shared" si="1"/>
        <v>C:\Users\96015\Desktop\EMR Log\\.txt</v>
      </c>
      <c r="X50" s="29" t="str">
        <f t="shared" si="4"/>
        <v>C:\Users\96015\Desktop\EMR Log\</v>
      </c>
      <c r="Y50" s="30" t="str">
        <f t="shared" si="5"/>
        <v>C:\Users\96015\Desktop\EMR Log\\.txt</v>
      </c>
      <c r="AB50" s="34"/>
    </row>
    <row r="51" spans="1:28" x14ac:dyDescent="0.25">
      <c r="A51" s="110"/>
      <c r="B51" s="109" t="s">
        <v>149</v>
      </c>
      <c r="C51" s="110" t="s">
        <v>446</v>
      </c>
      <c r="D51" s="110"/>
      <c r="E51" s="57" t="s">
        <v>1703</v>
      </c>
      <c r="F51" s="140"/>
      <c r="G51" s="115"/>
      <c r="H51" s="35"/>
      <c r="I51" s="34"/>
      <c r="J51" s="34"/>
      <c r="L51" s="34" t="s">
        <v>1599</v>
      </c>
      <c r="N51" s="34"/>
      <c r="R51" s="57"/>
      <c r="S51" s="61" t="str">
        <f t="shared" si="0"/>
        <v>C:\Users\96015\Desktop\EMR Log\</v>
      </c>
      <c r="T51" s="57" t="str">
        <f t="shared" si="1"/>
        <v>C:\Users\96015\Desktop\EMR Log\\.txt</v>
      </c>
      <c r="X51" s="29" t="str">
        <f t="shared" si="4"/>
        <v>C:\Users\96015\Desktop\EMR Log\</v>
      </c>
      <c r="Y51" s="30" t="str">
        <f t="shared" si="5"/>
        <v>C:\Users\96015\Desktop\EMR Log\\.txt</v>
      </c>
      <c r="AB51" s="34"/>
    </row>
    <row r="52" spans="1:28" x14ac:dyDescent="0.25">
      <c r="A52" s="110"/>
      <c r="B52" s="109" t="s">
        <v>851</v>
      </c>
      <c r="C52" s="110" t="s">
        <v>863</v>
      </c>
      <c r="D52" s="110"/>
      <c r="E52" s="57" t="s">
        <v>930</v>
      </c>
      <c r="F52" s="140"/>
      <c r="G52" s="115"/>
      <c r="H52" s="35"/>
      <c r="I52" s="34"/>
      <c r="J52" s="34"/>
      <c r="L52" s="34" t="s">
        <v>1602</v>
      </c>
      <c r="N52" s="34"/>
      <c r="R52" s="57"/>
      <c r="S52" s="61" t="str">
        <f t="shared" si="0"/>
        <v>C:\Users\96015\Desktop\EMR Log\</v>
      </c>
      <c r="T52" s="57" t="str">
        <f t="shared" si="1"/>
        <v>C:\Users\96015\Desktop\EMR Log\\.txt</v>
      </c>
      <c r="X52" s="29" t="str">
        <f t="shared" si="4"/>
        <v>C:\Users\96015\Desktop\EMR Log\</v>
      </c>
      <c r="Y52" s="30" t="str">
        <f t="shared" si="5"/>
        <v>C:\Users\96015\Desktop\EMR Log\\.txt</v>
      </c>
      <c r="AB52" s="34"/>
    </row>
    <row r="53" spans="1:28" x14ac:dyDescent="0.25">
      <c r="A53" s="110"/>
      <c r="B53" s="109" t="s">
        <v>1395</v>
      </c>
      <c r="C53" s="110" t="s">
        <v>862</v>
      </c>
      <c r="D53" s="110"/>
      <c r="E53" s="57" t="s">
        <v>1248</v>
      </c>
      <c r="F53" s="140"/>
      <c r="G53" s="115"/>
      <c r="H53" s="35"/>
      <c r="I53" s="34"/>
      <c r="J53" s="34"/>
      <c r="L53" s="34" t="s">
        <v>1809</v>
      </c>
      <c r="N53" s="34"/>
      <c r="R53" s="57"/>
      <c r="S53" s="61" t="str">
        <f t="shared" si="0"/>
        <v>C:\Users\96015\Desktop\EMR Log\</v>
      </c>
      <c r="T53" s="57" t="str">
        <f t="shared" si="1"/>
        <v>C:\Users\96015\Desktop\EMR Log\\.txt</v>
      </c>
      <c r="X53" s="29" t="str">
        <f t="shared" si="4"/>
        <v>C:\Users\96015\Desktop\EMR Log\</v>
      </c>
      <c r="Y53" s="30" t="str">
        <f t="shared" si="5"/>
        <v>C:\Users\96015\Desktop\EMR Log\\.txt</v>
      </c>
      <c r="AB53" s="34"/>
    </row>
    <row r="54" spans="1:28" x14ac:dyDescent="0.25">
      <c r="A54" s="110"/>
      <c r="B54" s="109" t="s">
        <v>212</v>
      </c>
      <c r="C54" s="110" t="s">
        <v>701</v>
      </c>
      <c r="D54" s="110"/>
      <c r="E54" s="57" t="s">
        <v>1315</v>
      </c>
      <c r="F54" s="140"/>
      <c r="G54" s="115"/>
      <c r="H54" s="35"/>
      <c r="I54" s="34"/>
      <c r="J54" s="34"/>
      <c r="L54" s="34" t="s">
        <v>501</v>
      </c>
      <c r="N54" s="34"/>
      <c r="R54" s="57"/>
      <c r="S54" s="61" t="str">
        <f t="shared" si="0"/>
        <v>C:\Users\96015\Desktop\EMR Log\</v>
      </c>
      <c r="T54" s="57" t="str">
        <f t="shared" si="1"/>
        <v>C:\Users\96015\Desktop\EMR Log\\.txt</v>
      </c>
      <c r="X54" s="29" t="str">
        <f t="shared" si="4"/>
        <v>C:\Users\96015\Desktop\EMR Log\</v>
      </c>
      <c r="Y54" s="30" t="str">
        <f t="shared" si="5"/>
        <v>C:\Users\96015\Desktop\EMR Log\\.txt</v>
      </c>
      <c r="AB54" s="34"/>
    </row>
    <row r="55" spans="1:28" x14ac:dyDescent="0.25">
      <c r="A55" s="110"/>
      <c r="B55" s="109" t="s">
        <v>945</v>
      </c>
      <c r="C55" s="110" t="s">
        <v>538</v>
      </c>
      <c r="D55" s="110"/>
      <c r="F55" s="140"/>
      <c r="G55" s="115"/>
      <c r="H55" s="35"/>
      <c r="I55" s="34"/>
      <c r="J55" s="34"/>
      <c r="L55" s="34" t="s">
        <v>71</v>
      </c>
      <c r="N55" s="34"/>
      <c r="R55" s="57"/>
      <c r="S55" s="61" t="str">
        <f t="shared" si="0"/>
        <v>C:\Users\96015\Desktop\EMR Log\</v>
      </c>
      <c r="T55" s="57" t="str">
        <f t="shared" si="1"/>
        <v>C:\Users\96015\Desktop\EMR Log\\.txt</v>
      </c>
      <c r="X55" s="29" t="str">
        <f t="shared" si="4"/>
        <v>C:\Users\96015\Desktop\EMR Log\</v>
      </c>
      <c r="Y55" s="30" t="str">
        <f t="shared" si="5"/>
        <v>C:\Users\96015\Desktop\EMR Log\\.txt</v>
      </c>
      <c r="AB55" s="34"/>
    </row>
    <row r="56" spans="1:28" x14ac:dyDescent="0.25">
      <c r="A56" s="110"/>
      <c r="B56" s="109" t="s">
        <v>85</v>
      </c>
      <c r="C56" s="110" t="s">
        <v>639</v>
      </c>
      <c r="D56" s="110"/>
      <c r="F56" s="140"/>
      <c r="G56" s="115"/>
      <c r="H56" s="35"/>
      <c r="I56" s="34"/>
      <c r="J56" s="34"/>
      <c r="L56" s="34" t="s">
        <v>1715</v>
      </c>
      <c r="N56" s="34"/>
      <c r="R56" s="57"/>
      <c r="S56" s="61" t="str">
        <f t="shared" si="0"/>
        <v>C:\Users\96015\Desktop\EMR Log\</v>
      </c>
      <c r="T56" s="57" t="str">
        <f t="shared" si="1"/>
        <v>C:\Users\96015\Desktop\EMR Log\\.txt</v>
      </c>
      <c r="X56" s="29" t="str">
        <f t="shared" si="4"/>
        <v>C:\Users\96015\Desktop\EMR Log\</v>
      </c>
      <c r="Y56" s="30" t="str">
        <f t="shared" si="5"/>
        <v>C:\Users\96015\Desktop\EMR Log\\.txt</v>
      </c>
      <c r="AB56" s="34"/>
    </row>
    <row r="57" spans="1:28" x14ac:dyDescent="0.25">
      <c r="A57" s="110"/>
      <c r="B57" s="109" t="s">
        <v>912</v>
      </c>
      <c r="C57" s="110"/>
      <c r="D57" s="110"/>
      <c r="F57" s="140"/>
      <c r="G57" s="115"/>
      <c r="H57" s="35"/>
      <c r="I57" s="34"/>
      <c r="J57" s="34"/>
      <c r="L57" s="34" t="s">
        <v>1560</v>
      </c>
      <c r="N57" s="34"/>
      <c r="R57" s="57"/>
      <c r="S57" s="61" t="str">
        <f t="shared" si="0"/>
        <v>C:\Users\96015\Desktop\EMR Log\</v>
      </c>
      <c r="T57" s="57" t="str">
        <f t="shared" si="1"/>
        <v>C:\Users\96015\Desktop\EMR Log\\.txt</v>
      </c>
      <c r="X57" s="29" t="str">
        <f t="shared" si="4"/>
        <v>C:\Users\96015\Desktop\EMR Log\</v>
      </c>
      <c r="Y57" s="30" t="str">
        <f t="shared" si="5"/>
        <v>C:\Users\96015\Desktop\EMR Log\\.txt</v>
      </c>
      <c r="AB57" s="34"/>
    </row>
    <row r="58" spans="1:28" x14ac:dyDescent="0.25">
      <c r="A58" s="110"/>
      <c r="B58" s="109" t="s">
        <v>72</v>
      </c>
      <c r="C58" s="110"/>
      <c r="D58" s="110"/>
      <c r="F58" s="140"/>
      <c r="G58" s="115"/>
      <c r="H58" s="35"/>
      <c r="I58" s="34"/>
      <c r="J58" s="34"/>
      <c r="L58" s="34" t="s">
        <v>1724</v>
      </c>
      <c r="N58" s="34"/>
      <c r="R58" s="57"/>
      <c r="S58" s="61" t="str">
        <f t="shared" si="0"/>
        <v>C:\Users\96015\Desktop\EMR Log\</v>
      </c>
      <c r="T58" s="57" t="str">
        <f t="shared" si="1"/>
        <v>C:\Users\96015\Desktop\EMR Log\\.txt</v>
      </c>
      <c r="X58" s="29" t="str">
        <f t="shared" si="4"/>
        <v>C:\Users\96015\Desktop\EMR Log\</v>
      </c>
      <c r="Y58" s="30" t="str">
        <f t="shared" si="5"/>
        <v>C:\Users\96015\Desktop\EMR Log\\.txt</v>
      </c>
      <c r="AB58" s="34"/>
    </row>
    <row r="59" spans="1:28" x14ac:dyDescent="0.25">
      <c r="A59" s="110"/>
      <c r="B59" s="109" t="s">
        <v>213</v>
      </c>
      <c r="C59" s="110"/>
      <c r="D59" s="110"/>
      <c r="F59" s="140"/>
      <c r="G59" s="115"/>
      <c r="H59" s="35"/>
      <c r="I59" s="34"/>
      <c r="J59" s="34"/>
      <c r="L59" s="34" t="s">
        <v>1805</v>
      </c>
      <c r="N59" s="34"/>
      <c r="R59" s="57"/>
      <c r="S59" s="61" t="str">
        <f t="shared" si="0"/>
        <v>C:\Users\96015\Desktop\EMR Log\</v>
      </c>
      <c r="T59" s="57" t="str">
        <f t="shared" si="1"/>
        <v>C:\Users\96015\Desktop\EMR Log\\.txt</v>
      </c>
      <c r="X59" s="29" t="str">
        <f t="shared" si="4"/>
        <v>C:\Users\96015\Desktop\EMR Log\</v>
      </c>
      <c r="Y59" s="30" t="str">
        <f t="shared" si="5"/>
        <v>C:\Users\96015\Desktop\EMR Log\\.txt</v>
      </c>
      <c r="AB59" s="34"/>
    </row>
    <row r="60" spans="1:28" x14ac:dyDescent="0.25">
      <c r="A60" s="110"/>
      <c r="B60" s="109" t="s">
        <v>86</v>
      </c>
      <c r="C60" s="110"/>
      <c r="D60" s="110"/>
      <c r="F60" s="140"/>
      <c r="G60" s="115"/>
      <c r="H60" s="35"/>
      <c r="I60" s="34"/>
      <c r="J60" s="34"/>
      <c r="L60" s="34" t="s">
        <v>1875</v>
      </c>
      <c r="N60" s="34"/>
      <c r="R60" s="57"/>
      <c r="S60" s="61" t="str">
        <f t="shared" si="0"/>
        <v>C:\Users\96015\Desktop\EMR Log\</v>
      </c>
      <c r="T60" s="57" t="str">
        <f t="shared" si="1"/>
        <v>C:\Users\96015\Desktop\EMR Log\\.txt</v>
      </c>
      <c r="X60" s="29" t="str">
        <f t="shared" si="4"/>
        <v>C:\Users\96015\Desktop\EMR Log\</v>
      </c>
      <c r="Y60" s="30" t="str">
        <f t="shared" si="5"/>
        <v>C:\Users\96015\Desktop\EMR Log\\.txt</v>
      </c>
      <c r="AB60" s="34"/>
    </row>
    <row r="61" spans="1:28" x14ac:dyDescent="0.25">
      <c r="A61" s="110"/>
      <c r="B61" s="109" t="s">
        <v>217</v>
      </c>
      <c r="C61" s="110"/>
      <c r="D61" s="110"/>
      <c r="F61" s="140"/>
      <c r="G61" s="115"/>
      <c r="H61" s="35"/>
      <c r="I61" s="34"/>
      <c r="J61" s="34"/>
      <c r="L61" s="34" t="s">
        <v>1000</v>
      </c>
      <c r="N61" s="34"/>
      <c r="R61" s="57"/>
      <c r="S61" s="61" t="str">
        <f t="shared" si="0"/>
        <v>C:\Users\96015\Desktop\EMR Log\</v>
      </c>
      <c r="T61" s="57" t="str">
        <f t="shared" si="1"/>
        <v>C:\Users\96015\Desktop\EMR Log\\.txt</v>
      </c>
      <c r="X61" s="29" t="str">
        <f t="shared" si="4"/>
        <v>C:\Users\96015\Desktop\EMR Log\</v>
      </c>
      <c r="Y61" s="30" t="str">
        <f t="shared" si="5"/>
        <v>C:\Users\96015\Desktop\EMR Log\\.txt</v>
      </c>
      <c r="AB61" s="34"/>
    </row>
    <row r="62" spans="1:28" x14ac:dyDescent="0.25">
      <c r="A62" s="110"/>
      <c r="B62" s="109" t="s">
        <v>1252</v>
      </c>
      <c r="C62" s="110"/>
      <c r="D62" s="110"/>
      <c r="F62" s="140"/>
      <c r="G62" s="116"/>
      <c r="H62" s="35"/>
      <c r="I62" s="34"/>
      <c r="J62" s="34"/>
      <c r="L62" s="34" t="s">
        <v>1673</v>
      </c>
      <c r="N62" s="34"/>
      <c r="R62" s="57"/>
      <c r="S62" s="61" t="str">
        <f t="shared" si="0"/>
        <v>C:\Users\96015\Desktop\EMR Log\</v>
      </c>
      <c r="T62" s="57" t="str">
        <f t="shared" si="1"/>
        <v>C:\Users\96015\Desktop\EMR Log\\.txt</v>
      </c>
      <c r="X62" s="29" t="str">
        <f t="shared" si="4"/>
        <v>C:\Users\96015\Desktop\EMR Log\</v>
      </c>
      <c r="Y62" s="30" t="str">
        <f t="shared" si="5"/>
        <v>C:\Users\96015\Desktop\EMR Log\\.txt</v>
      </c>
      <c r="AB62" s="34"/>
    </row>
    <row r="63" spans="1:28" x14ac:dyDescent="0.25">
      <c r="A63" s="110"/>
      <c r="B63" s="109" t="s">
        <v>1437</v>
      </c>
      <c r="C63" s="110"/>
      <c r="D63" s="110"/>
      <c r="F63" s="140"/>
      <c r="G63" s="115"/>
      <c r="H63" s="35"/>
      <c r="I63" s="34"/>
      <c r="J63" s="34"/>
      <c r="L63" s="34" t="s">
        <v>1657</v>
      </c>
      <c r="N63" s="34"/>
      <c r="R63" s="57"/>
      <c r="S63" s="61" t="str">
        <f t="shared" si="0"/>
        <v>C:\Users\96015\Desktop\EMR Log\</v>
      </c>
      <c r="T63" s="57" t="str">
        <f t="shared" si="1"/>
        <v>C:\Users\96015\Desktop\EMR Log\\.txt</v>
      </c>
      <c r="X63" s="29" t="str">
        <f t="shared" si="4"/>
        <v>C:\Users\96015\Desktop\EMR Log\</v>
      </c>
      <c r="Y63" s="30" t="str">
        <f t="shared" si="5"/>
        <v>C:\Users\96015\Desktop\EMR Log\\.txt</v>
      </c>
      <c r="AB63" s="34"/>
    </row>
    <row r="64" spans="1:28" x14ac:dyDescent="0.25">
      <c r="A64" s="110"/>
      <c r="B64" s="109" t="s">
        <v>923</v>
      </c>
      <c r="C64" s="110"/>
      <c r="D64" s="110"/>
      <c r="F64" s="140"/>
      <c r="G64" s="115"/>
      <c r="H64" s="35"/>
      <c r="I64" s="34"/>
      <c r="J64" s="34"/>
      <c r="L64" s="34"/>
      <c r="N64" s="34"/>
      <c r="R64" s="57"/>
      <c r="S64" s="61" t="str">
        <f t="shared" si="0"/>
        <v>C:\Users\96015\Desktop\EMR Log\</v>
      </c>
      <c r="T64" s="57" t="str">
        <f t="shared" si="1"/>
        <v>C:\Users\96015\Desktop\EMR Log\\.txt</v>
      </c>
      <c r="X64" s="29" t="str">
        <f t="shared" si="4"/>
        <v>C:\Users\96015\Desktop\EMR Log\</v>
      </c>
      <c r="Y64" s="30" t="str">
        <f t="shared" si="5"/>
        <v>C:\Users\96015\Desktop\EMR Log\\.txt</v>
      </c>
      <c r="AB64" s="34"/>
    </row>
    <row r="65" spans="1:28" x14ac:dyDescent="0.25">
      <c r="A65" s="110"/>
      <c r="B65" s="109" t="s">
        <v>305</v>
      </c>
      <c r="C65" s="110"/>
      <c r="D65" s="110"/>
      <c r="F65" s="140"/>
      <c r="G65" s="115"/>
      <c r="H65" s="35"/>
      <c r="I65" s="34"/>
      <c r="J65" s="34"/>
      <c r="L65" s="34"/>
      <c r="N65" s="34"/>
      <c r="R65" s="57"/>
      <c r="S65" s="61" t="str">
        <f t="shared" si="0"/>
        <v>C:\Users\96015\Desktop\EMR Log\</v>
      </c>
      <c r="T65" s="57" t="str">
        <f t="shared" si="1"/>
        <v>C:\Users\96015\Desktop\EMR Log\\.txt</v>
      </c>
      <c r="X65" s="29" t="str">
        <f t="shared" si="4"/>
        <v>C:\Users\96015\Desktop\EMR Log\</v>
      </c>
      <c r="Y65" s="30" t="str">
        <f t="shared" si="5"/>
        <v>C:\Users\96015\Desktop\EMR Log\\.txt</v>
      </c>
      <c r="AB65" s="34"/>
    </row>
    <row r="66" spans="1:28" x14ac:dyDescent="0.25">
      <c r="A66" s="110"/>
      <c r="B66" s="109" t="s">
        <v>187</v>
      </c>
      <c r="C66" s="110"/>
      <c r="D66" s="110"/>
      <c r="F66" s="140"/>
      <c r="G66" s="115"/>
      <c r="H66" s="35"/>
      <c r="I66" s="34"/>
      <c r="J66" s="34"/>
      <c r="L66" s="34"/>
      <c r="N66" s="34"/>
      <c r="R66" s="57"/>
      <c r="S66" s="61" t="str">
        <f t="shared" ref="S66:S129" si="6">CONCATENATE("C:\Users\96015\Desktop\EMR Log\", R66)</f>
        <v>C:\Users\96015\Desktop\EMR Log\</v>
      </c>
      <c r="T66" s="57" t="str">
        <f t="shared" ref="T66:T129" si="7">CONCATENATE("C:\Users\96015\Desktop\EMR Log\",R66,"\",R66,".txt")</f>
        <v>C:\Users\96015\Desktop\EMR Log\\.txt</v>
      </c>
      <c r="X66" s="29" t="str">
        <f t="shared" ref="X66:X97" si="8">CONCATENATE("C:\Users\96015\Desktop\EMR Log\",W66)</f>
        <v>C:\Users\96015\Desktop\EMR Log\</v>
      </c>
      <c r="Y66" s="30" t="str">
        <f t="shared" ref="Y66:Y97" si="9">CONCATENATE("C:\Users\96015\Desktop\EMR Log\",W66,"\", W66,".txt")</f>
        <v>C:\Users\96015\Desktop\EMR Log\\.txt</v>
      </c>
      <c r="AB66" s="34"/>
    </row>
    <row r="67" spans="1:28" x14ac:dyDescent="0.25">
      <c r="A67" s="110"/>
      <c r="B67" s="109" t="s">
        <v>1242</v>
      </c>
      <c r="C67" s="110"/>
      <c r="D67" s="110"/>
      <c r="F67" s="140"/>
      <c r="G67" s="115"/>
      <c r="H67" s="35"/>
      <c r="I67" s="34"/>
      <c r="J67" s="34"/>
      <c r="L67" s="34"/>
      <c r="N67" s="34"/>
      <c r="R67" s="57"/>
      <c r="S67" s="61" t="str">
        <f t="shared" si="6"/>
        <v>C:\Users\96015\Desktop\EMR Log\</v>
      </c>
      <c r="T67" s="57" t="str">
        <f t="shared" si="7"/>
        <v>C:\Users\96015\Desktop\EMR Log\\.txt</v>
      </c>
      <c r="X67" s="29" t="str">
        <f t="shared" si="8"/>
        <v>C:\Users\96015\Desktop\EMR Log\</v>
      </c>
      <c r="Y67" s="30" t="str">
        <f t="shared" si="9"/>
        <v>C:\Users\96015\Desktop\EMR Log\\.txt</v>
      </c>
      <c r="AB67" s="34"/>
    </row>
    <row r="68" spans="1:28" x14ac:dyDescent="0.25">
      <c r="A68" s="110"/>
      <c r="B68" s="109" t="s">
        <v>1491</v>
      </c>
      <c r="C68" s="110"/>
      <c r="D68" s="110"/>
      <c r="F68" s="140"/>
      <c r="G68" s="115"/>
      <c r="H68" s="35"/>
      <c r="I68" s="34"/>
      <c r="J68" s="34"/>
      <c r="L68" s="34"/>
      <c r="N68" s="34"/>
      <c r="R68" s="57"/>
      <c r="S68" s="61" t="str">
        <f t="shared" si="6"/>
        <v>C:\Users\96015\Desktop\EMR Log\</v>
      </c>
      <c r="T68" s="57" t="str">
        <f t="shared" si="7"/>
        <v>C:\Users\96015\Desktop\EMR Log\\.txt</v>
      </c>
      <c r="X68" s="29" t="str">
        <f t="shared" si="8"/>
        <v>C:\Users\96015\Desktop\EMR Log\</v>
      </c>
      <c r="Y68" s="30" t="str">
        <f t="shared" si="9"/>
        <v>C:\Users\96015\Desktop\EMR Log\\.txt</v>
      </c>
      <c r="AB68" s="34"/>
    </row>
    <row r="69" spans="1:28" x14ac:dyDescent="0.25">
      <c r="A69" s="110"/>
      <c r="B69" s="109" t="s">
        <v>1507</v>
      </c>
      <c r="C69" s="110"/>
      <c r="D69" s="110"/>
      <c r="F69" s="140"/>
      <c r="G69" s="115"/>
      <c r="H69" s="35"/>
      <c r="I69" s="34"/>
      <c r="J69" s="34"/>
      <c r="L69" s="34"/>
      <c r="N69" s="34"/>
      <c r="R69" s="57"/>
      <c r="S69" s="61" t="str">
        <f t="shared" si="6"/>
        <v>C:\Users\96015\Desktop\EMR Log\</v>
      </c>
      <c r="T69" s="57" t="str">
        <f t="shared" si="7"/>
        <v>C:\Users\96015\Desktop\EMR Log\\.txt</v>
      </c>
      <c r="X69" s="29" t="str">
        <f t="shared" si="8"/>
        <v>C:\Users\96015\Desktop\EMR Log\</v>
      </c>
      <c r="Y69" s="30" t="str">
        <f t="shared" si="9"/>
        <v>C:\Users\96015\Desktop\EMR Log\\.txt</v>
      </c>
      <c r="AB69" s="34"/>
    </row>
    <row r="70" spans="1:28" x14ac:dyDescent="0.25">
      <c r="A70" s="110"/>
      <c r="B70" s="109" t="s">
        <v>1512</v>
      </c>
      <c r="C70" s="110"/>
      <c r="D70" s="110"/>
      <c r="F70" s="140"/>
      <c r="G70" s="115"/>
      <c r="H70" s="35"/>
      <c r="I70" s="34"/>
      <c r="J70" s="34"/>
      <c r="L70" s="34"/>
      <c r="N70" s="34"/>
      <c r="R70" s="57"/>
      <c r="S70" s="61" t="str">
        <f t="shared" si="6"/>
        <v>C:\Users\96015\Desktop\EMR Log\</v>
      </c>
      <c r="T70" s="57" t="str">
        <f t="shared" si="7"/>
        <v>C:\Users\96015\Desktop\EMR Log\\.txt</v>
      </c>
      <c r="X70" s="29" t="str">
        <f t="shared" si="8"/>
        <v>C:\Users\96015\Desktop\EMR Log\</v>
      </c>
      <c r="Y70" s="30" t="str">
        <f t="shared" si="9"/>
        <v>C:\Users\96015\Desktop\EMR Log\\.txt</v>
      </c>
      <c r="AB70" s="34"/>
    </row>
    <row r="71" spans="1:28" x14ac:dyDescent="0.25">
      <c r="A71" s="110"/>
      <c r="B71" s="109" t="s">
        <v>1115</v>
      </c>
      <c r="C71" s="110"/>
      <c r="D71" s="110"/>
      <c r="F71" s="140"/>
      <c r="G71" s="115"/>
      <c r="H71" s="35"/>
      <c r="I71" s="34"/>
      <c r="J71" s="34"/>
      <c r="L71" s="34"/>
      <c r="N71" s="34"/>
      <c r="R71" s="57"/>
      <c r="S71" s="61" t="str">
        <f t="shared" si="6"/>
        <v>C:\Users\96015\Desktop\EMR Log\</v>
      </c>
      <c r="T71" s="57" t="str">
        <f t="shared" si="7"/>
        <v>C:\Users\96015\Desktop\EMR Log\\.txt</v>
      </c>
      <c r="X71" s="29" t="str">
        <f t="shared" si="8"/>
        <v>C:\Users\96015\Desktop\EMR Log\</v>
      </c>
      <c r="Y71" s="30" t="str">
        <f t="shared" si="9"/>
        <v>C:\Users\96015\Desktop\EMR Log\\.txt</v>
      </c>
      <c r="AB71" s="34"/>
    </row>
    <row r="72" spans="1:28" x14ac:dyDescent="0.25">
      <c r="A72" s="110"/>
      <c r="B72" s="109" t="s">
        <v>76</v>
      </c>
      <c r="C72" s="110"/>
      <c r="D72" s="110"/>
      <c r="F72" s="140"/>
      <c r="G72" s="115"/>
      <c r="H72" s="35"/>
      <c r="I72" s="34"/>
      <c r="J72" s="34"/>
      <c r="L72" s="34"/>
      <c r="N72" s="34"/>
      <c r="R72" s="57"/>
      <c r="S72" s="61" t="str">
        <f t="shared" si="6"/>
        <v>C:\Users\96015\Desktop\EMR Log\</v>
      </c>
      <c r="T72" s="57" t="str">
        <f t="shared" si="7"/>
        <v>C:\Users\96015\Desktop\EMR Log\\.txt</v>
      </c>
      <c r="X72" s="29" t="str">
        <f t="shared" si="8"/>
        <v>C:\Users\96015\Desktop\EMR Log\</v>
      </c>
      <c r="Y72" s="30" t="str">
        <f t="shared" si="9"/>
        <v>C:\Users\96015\Desktop\EMR Log\\.txt</v>
      </c>
      <c r="AB72" s="34"/>
    </row>
    <row r="73" spans="1:28" x14ac:dyDescent="0.25">
      <c r="A73" s="110"/>
      <c r="B73" s="109" t="s">
        <v>1319</v>
      </c>
      <c r="C73" s="110"/>
      <c r="D73" s="110"/>
      <c r="F73" s="140"/>
      <c r="G73" s="115"/>
      <c r="H73" s="35"/>
      <c r="I73" s="34"/>
      <c r="J73" s="34"/>
      <c r="L73" s="34"/>
      <c r="N73" s="34"/>
      <c r="R73" s="57"/>
      <c r="S73" s="61" t="str">
        <f t="shared" si="6"/>
        <v>C:\Users\96015\Desktop\EMR Log\</v>
      </c>
      <c r="T73" s="57" t="str">
        <f t="shared" si="7"/>
        <v>C:\Users\96015\Desktop\EMR Log\\.txt</v>
      </c>
      <c r="X73" s="29" t="str">
        <f t="shared" si="8"/>
        <v>C:\Users\96015\Desktop\EMR Log\</v>
      </c>
      <c r="Y73" s="30" t="str">
        <f t="shared" si="9"/>
        <v>C:\Users\96015\Desktop\EMR Log\\.txt</v>
      </c>
      <c r="AB73" s="34"/>
    </row>
    <row r="74" spans="1:28" x14ac:dyDescent="0.25">
      <c r="A74" s="110"/>
      <c r="B74" s="109" t="s">
        <v>946</v>
      </c>
      <c r="C74" s="110"/>
      <c r="D74" s="110"/>
      <c r="F74" s="140"/>
      <c r="G74" s="115"/>
      <c r="H74" s="35"/>
      <c r="I74" s="34"/>
      <c r="J74" s="34"/>
      <c r="L74" s="34"/>
      <c r="N74" s="34"/>
      <c r="R74" s="57"/>
      <c r="S74" s="61" t="str">
        <f t="shared" si="6"/>
        <v>C:\Users\96015\Desktop\EMR Log\</v>
      </c>
      <c r="T74" s="57" t="str">
        <f t="shared" si="7"/>
        <v>C:\Users\96015\Desktop\EMR Log\\.txt</v>
      </c>
      <c r="X74" s="29" t="str">
        <f t="shared" si="8"/>
        <v>C:\Users\96015\Desktop\EMR Log\</v>
      </c>
      <c r="Y74" s="30" t="str">
        <f t="shared" si="9"/>
        <v>C:\Users\96015\Desktop\EMR Log\\.txt</v>
      </c>
      <c r="AB74" s="34"/>
    </row>
    <row r="75" spans="1:28" x14ac:dyDescent="0.25">
      <c r="A75" s="110"/>
      <c r="B75" s="109" t="s">
        <v>947</v>
      </c>
      <c r="C75" s="110"/>
      <c r="D75" s="110"/>
      <c r="F75" s="140"/>
      <c r="G75" s="115"/>
      <c r="H75" s="35"/>
      <c r="I75" s="34"/>
      <c r="J75" s="34"/>
      <c r="L75" s="34"/>
      <c r="N75" s="34"/>
      <c r="R75" s="57"/>
      <c r="S75" s="61" t="str">
        <f t="shared" si="6"/>
        <v>C:\Users\96015\Desktop\EMR Log\</v>
      </c>
      <c r="T75" s="57" t="str">
        <f t="shared" si="7"/>
        <v>C:\Users\96015\Desktop\EMR Log\\.txt</v>
      </c>
      <c r="X75" s="29" t="str">
        <f t="shared" si="8"/>
        <v>C:\Users\96015\Desktop\EMR Log\</v>
      </c>
      <c r="Y75" s="30" t="str">
        <f t="shared" si="9"/>
        <v>C:\Users\96015\Desktop\EMR Log\\.txt</v>
      </c>
      <c r="AB75" s="34"/>
    </row>
    <row r="76" spans="1:28" x14ac:dyDescent="0.25">
      <c r="A76" s="110"/>
      <c r="B76" s="109" t="s">
        <v>948</v>
      </c>
      <c r="C76" s="110"/>
      <c r="D76" s="110"/>
      <c r="F76" s="140"/>
      <c r="G76" s="115"/>
      <c r="H76" s="35"/>
      <c r="I76" s="34"/>
      <c r="J76" s="34"/>
      <c r="L76" s="34"/>
      <c r="N76" s="34"/>
      <c r="R76" s="57"/>
      <c r="S76" s="61" t="str">
        <f t="shared" si="6"/>
        <v>C:\Users\96015\Desktop\EMR Log\</v>
      </c>
      <c r="T76" s="57" t="str">
        <f t="shared" si="7"/>
        <v>C:\Users\96015\Desktop\EMR Log\\.txt</v>
      </c>
      <c r="X76" s="29" t="str">
        <f t="shared" si="8"/>
        <v>C:\Users\96015\Desktop\EMR Log\</v>
      </c>
      <c r="Y76" s="30" t="str">
        <f t="shared" si="9"/>
        <v>C:\Users\96015\Desktop\EMR Log\\.txt</v>
      </c>
      <c r="AB76" s="34"/>
    </row>
    <row r="77" spans="1:28" x14ac:dyDescent="0.25">
      <c r="A77" s="110"/>
      <c r="B77" s="109" t="s">
        <v>949</v>
      </c>
      <c r="C77" s="110"/>
      <c r="D77" s="110"/>
      <c r="F77" s="140"/>
      <c r="G77" s="115"/>
      <c r="H77" s="35"/>
      <c r="I77" s="34"/>
      <c r="J77" s="34"/>
      <c r="L77" s="34"/>
      <c r="N77" s="34"/>
      <c r="R77" s="57"/>
      <c r="S77" s="61" t="str">
        <f t="shared" si="6"/>
        <v>C:\Users\96015\Desktop\EMR Log\</v>
      </c>
      <c r="T77" s="57" t="str">
        <f t="shared" si="7"/>
        <v>C:\Users\96015\Desktop\EMR Log\\.txt</v>
      </c>
      <c r="X77" s="29" t="str">
        <f t="shared" si="8"/>
        <v>C:\Users\96015\Desktop\EMR Log\</v>
      </c>
      <c r="Y77" s="30" t="str">
        <f t="shared" si="9"/>
        <v>C:\Users\96015\Desktop\EMR Log\\.txt</v>
      </c>
      <c r="AB77" s="34"/>
    </row>
    <row r="78" spans="1:28" x14ac:dyDescent="0.25">
      <c r="A78" s="110"/>
      <c r="B78" s="109" t="s">
        <v>803</v>
      </c>
      <c r="C78" s="110"/>
      <c r="D78" s="110"/>
      <c r="F78" s="140"/>
      <c r="G78" s="115"/>
      <c r="H78" s="35"/>
      <c r="I78" s="34"/>
      <c r="J78" s="34"/>
      <c r="L78" s="34"/>
      <c r="N78" s="34"/>
      <c r="R78" s="57"/>
      <c r="S78" s="61" t="str">
        <f t="shared" si="6"/>
        <v>C:\Users\96015\Desktop\EMR Log\</v>
      </c>
      <c r="T78" s="57" t="str">
        <f t="shared" si="7"/>
        <v>C:\Users\96015\Desktop\EMR Log\\.txt</v>
      </c>
      <c r="X78" s="29" t="str">
        <f t="shared" si="8"/>
        <v>C:\Users\96015\Desktop\EMR Log\</v>
      </c>
      <c r="Y78" s="30" t="str">
        <f t="shared" si="9"/>
        <v>C:\Users\96015\Desktop\EMR Log\\.txt</v>
      </c>
      <c r="AB78" s="34"/>
    </row>
    <row r="79" spans="1:28" x14ac:dyDescent="0.25">
      <c r="A79" s="110"/>
      <c r="B79" s="109" t="s">
        <v>1275</v>
      </c>
      <c r="C79" s="110"/>
      <c r="D79" s="110"/>
      <c r="F79" s="140"/>
      <c r="G79" s="115"/>
      <c r="H79" s="35"/>
      <c r="I79" s="34"/>
      <c r="J79" s="34"/>
      <c r="L79" s="34"/>
      <c r="N79" s="34"/>
      <c r="R79" s="57"/>
      <c r="S79" s="61" t="str">
        <f t="shared" si="6"/>
        <v>C:\Users\96015\Desktop\EMR Log\</v>
      </c>
      <c r="T79" s="57" t="str">
        <f t="shared" si="7"/>
        <v>C:\Users\96015\Desktop\EMR Log\\.txt</v>
      </c>
      <c r="X79" s="29" t="str">
        <f t="shared" si="8"/>
        <v>C:\Users\96015\Desktop\EMR Log\</v>
      </c>
      <c r="Y79" s="30" t="str">
        <f t="shared" si="9"/>
        <v>C:\Users\96015\Desktop\EMR Log\\.txt</v>
      </c>
      <c r="AB79" s="34"/>
    </row>
    <row r="80" spans="1:28" x14ac:dyDescent="0.25">
      <c r="A80" s="110"/>
      <c r="B80" s="109" t="s">
        <v>697</v>
      </c>
      <c r="C80" s="110"/>
      <c r="D80" s="110"/>
      <c r="F80" s="140"/>
      <c r="G80" s="115"/>
      <c r="H80" s="35"/>
      <c r="I80" s="34"/>
      <c r="J80" s="34"/>
      <c r="L80" s="34"/>
      <c r="N80" s="34"/>
      <c r="R80" s="57"/>
      <c r="S80" s="61" t="str">
        <f t="shared" si="6"/>
        <v>C:\Users\96015\Desktop\EMR Log\</v>
      </c>
      <c r="T80" s="57" t="str">
        <f t="shared" si="7"/>
        <v>C:\Users\96015\Desktop\EMR Log\\.txt</v>
      </c>
      <c r="X80" s="29" t="str">
        <f t="shared" si="8"/>
        <v>C:\Users\96015\Desktop\EMR Log\</v>
      </c>
      <c r="Y80" s="30" t="str">
        <f t="shared" si="9"/>
        <v>C:\Users\96015\Desktop\EMR Log\\.txt</v>
      </c>
      <c r="AB80" s="34"/>
    </row>
    <row r="81" spans="1:28" x14ac:dyDescent="0.25">
      <c r="A81" s="110"/>
      <c r="B81" s="109" t="s">
        <v>950</v>
      </c>
      <c r="C81" s="110"/>
      <c r="D81" s="110"/>
      <c r="F81" s="140"/>
      <c r="G81" s="115"/>
      <c r="H81" s="35"/>
      <c r="I81" s="34"/>
      <c r="J81" s="34"/>
      <c r="L81" s="34"/>
      <c r="N81" s="34"/>
      <c r="R81" s="57"/>
      <c r="S81" s="61" t="str">
        <f t="shared" si="6"/>
        <v>C:\Users\96015\Desktop\EMR Log\</v>
      </c>
      <c r="T81" s="57" t="str">
        <f t="shared" si="7"/>
        <v>C:\Users\96015\Desktop\EMR Log\\.txt</v>
      </c>
      <c r="X81" s="29" t="str">
        <f t="shared" si="8"/>
        <v>C:\Users\96015\Desktop\EMR Log\</v>
      </c>
      <c r="Y81" s="30" t="str">
        <f t="shared" si="9"/>
        <v>C:\Users\96015\Desktop\EMR Log\\.txt</v>
      </c>
      <c r="AB81" s="34"/>
    </row>
    <row r="82" spans="1:28" x14ac:dyDescent="0.25">
      <c r="A82" s="110"/>
      <c r="B82" s="109" t="s">
        <v>951</v>
      </c>
      <c r="C82" s="110"/>
      <c r="D82" s="110"/>
      <c r="F82" s="140"/>
      <c r="G82" s="115"/>
      <c r="H82" s="35"/>
      <c r="I82" s="34"/>
      <c r="J82" s="34"/>
      <c r="L82" s="34"/>
      <c r="N82" s="34"/>
      <c r="R82" s="57"/>
      <c r="S82" s="61" t="str">
        <f t="shared" si="6"/>
        <v>C:\Users\96015\Desktop\EMR Log\</v>
      </c>
      <c r="T82" s="57" t="str">
        <f t="shared" si="7"/>
        <v>C:\Users\96015\Desktop\EMR Log\\.txt</v>
      </c>
      <c r="X82" s="29" t="str">
        <f t="shared" si="8"/>
        <v>C:\Users\96015\Desktop\EMR Log\</v>
      </c>
      <c r="Y82" s="30" t="str">
        <f t="shared" si="9"/>
        <v>C:\Users\96015\Desktop\EMR Log\\.txt</v>
      </c>
      <c r="AB82" s="34"/>
    </row>
    <row r="83" spans="1:28" x14ac:dyDescent="0.25">
      <c r="A83" s="110"/>
      <c r="C83" s="110"/>
      <c r="D83" s="110"/>
      <c r="F83" s="140"/>
      <c r="G83" s="115"/>
      <c r="H83" s="35"/>
      <c r="I83" s="34"/>
      <c r="J83" s="34"/>
      <c r="L83" s="34"/>
      <c r="N83" s="34"/>
      <c r="R83" s="57"/>
      <c r="S83" s="61" t="str">
        <f t="shared" si="6"/>
        <v>C:\Users\96015\Desktop\EMR Log\</v>
      </c>
      <c r="T83" s="57" t="str">
        <f t="shared" si="7"/>
        <v>C:\Users\96015\Desktop\EMR Log\\.txt</v>
      </c>
      <c r="X83" s="29" t="str">
        <f t="shared" si="8"/>
        <v>C:\Users\96015\Desktop\EMR Log\</v>
      </c>
      <c r="Y83" s="30" t="str">
        <f t="shared" si="9"/>
        <v>C:\Users\96015\Desktop\EMR Log\\.txt</v>
      </c>
      <c r="AB83" s="34"/>
    </row>
    <row r="84" spans="1:28" x14ac:dyDescent="0.25">
      <c r="A84" s="110"/>
      <c r="C84" s="110"/>
      <c r="D84" s="110"/>
      <c r="F84" s="140"/>
      <c r="G84" s="115"/>
      <c r="H84" s="35"/>
      <c r="I84" s="34"/>
      <c r="J84" s="34"/>
      <c r="L84" s="34"/>
      <c r="N84" s="34"/>
      <c r="R84" s="57"/>
      <c r="S84" s="61" t="str">
        <f t="shared" si="6"/>
        <v>C:\Users\96015\Desktop\EMR Log\</v>
      </c>
      <c r="T84" s="57" t="str">
        <f t="shared" si="7"/>
        <v>C:\Users\96015\Desktop\EMR Log\\.txt</v>
      </c>
      <c r="X84" s="29" t="str">
        <f t="shared" si="8"/>
        <v>C:\Users\96015\Desktop\EMR Log\</v>
      </c>
      <c r="Y84" s="30" t="str">
        <f t="shared" si="9"/>
        <v>C:\Users\96015\Desktop\EMR Log\\.txt</v>
      </c>
      <c r="AB84" s="34"/>
    </row>
    <row r="85" spans="1:28" x14ac:dyDescent="0.25">
      <c r="A85" s="110"/>
      <c r="C85" s="110"/>
      <c r="D85" s="110"/>
      <c r="F85" s="140"/>
      <c r="G85" s="115"/>
      <c r="H85" s="35"/>
      <c r="I85" s="34"/>
      <c r="J85" s="34"/>
      <c r="L85" s="34"/>
      <c r="N85" s="34"/>
      <c r="R85" s="57"/>
      <c r="S85" s="61" t="str">
        <f t="shared" si="6"/>
        <v>C:\Users\96015\Desktop\EMR Log\</v>
      </c>
      <c r="T85" s="57" t="str">
        <f t="shared" si="7"/>
        <v>C:\Users\96015\Desktop\EMR Log\\.txt</v>
      </c>
      <c r="X85" s="29" t="str">
        <f t="shared" si="8"/>
        <v>C:\Users\96015\Desktop\EMR Log\</v>
      </c>
      <c r="Y85" s="30" t="str">
        <f t="shared" si="9"/>
        <v>C:\Users\96015\Desktop\EMR Log\\.txt</v>
      </c>
      <c r="AB85" s="34"/>
    </row>
    <row r="86" spans="1:28" x14ac:dyDescent="0.25">
      <c r="A86" s="110"/>
      <c r="C86" s="110"/>
      <c r="D86" s="110"/>
      <c r="F86" s="140"/>
      <c r="G86" s="115"/>
      <c r="H86" s="35"/>
      <c r="I86" s="34"/>
      <c r="J86" s="34"/>
      <c r="L86" s="34"/>
      <c r="N86" s="34"/>
      <c r="R86" s="57"/>
      <c r="S86" s="61" t="str">
        <f t="shared" si="6"/>
        <v>C:\Users\96015\Desktop\EMR Log\</v>
      </c>
      <c r="T86" s="57" t="str">
        <f t="shared" si="7"/>
        <v>C:\Users\96015\Desktop\EMR Log\\.txt</v>
      </c>
      <c r="X86" s="29" t="str">
        <f t="shared" si="8"/>
        <v>C:\Users\96015\Desktop\EMR Log\</v>
      </c>
      <c r="Y86" s="30" t="str">
        <f t="shared" si="9"/>
        <v>C:\Users\96015\Desktop\EMR Log\\.txt</v>
      </c>
      <c r="AB86" s="34"/>
    </row>
    <row r="87" spans="1:28" x14ac:dyDescent="0.25">
      <c r="A87" s="110"/>
      <c r="C87" s="110"/>
      <c r="D87" s="110"/>
      <c r="F87" s="140"/>
      <c r="G87" s="115"/>
      <c r="H87" s="35"/>
      <c r="I87" s="34"/>
      <c r="J87" s="34"/>
      <c r="L87" s="34"/>
      <c r="N87" s="34"/>
      <c r="R87" s="57"/>
      <c r="S87" s="61" t="str">
        <f t="shared" si="6"/>
        <v>C:\Users\96015\Desktop\EMR Log\</v>
      </c>
      <c r="T87" s="57" t="str">
        <f t="shared" si="7"/>
        <v>C:\Users\96015\Desktop\EMR Log\\.txt</v>
      </c>
      <c r="X87" s="29" t="str">
        <f t="shared" si="8"/>
        <v>C:\Users\96015\Desktop\EMR Log\</v>
      </c>
      <c r="Y87" s="30" t="str">
        <f t="shared" si="9"/>
        <v>C:\Users\96015\Desktop\EMR Log\\.txt</v>
      </c>
      <c r="AB87" s="34"/>
    </row>
    <row r="88" spans="1:28" x14ac:dyDescent="0.25">
      <c r="A88" s="110"/>
      <c r="C88" s="110"/>
      <c r="D88" s="110"/>
      <c r="F88" s="140"/>
      <c r="G88" s="115"/>
      <c r="H88" s="35"/>
      <c r="I88" s="34"/>
      <c r="J88" s="34"/>
      <c r="L88" s="34"/>
      <c r="N88" s="34"/>
      <c r="R88" s="57"/>
      <c r="S88" s="61" t="str">
        <f t="shared" si="6"/>
        <v>C:\Users\96015\Desktop\EMR Log\</v>
      </c>
      <c r="T88" s="57" t="str">
        <f t="shared" si="7"/>
        <v>C:\Users\96015\Desktop\EMR Log\\.txt</v>
      </c>
      <c r="X88" s="29" t="str">
        <f t="shared" si="8"/>
        <v>C:\Users\96015\Desktop\EMR Log\</v>
      </c>
      <c r="Y88" s="30" t="str">
        <f t="shared" si="9"/>
        <v>C:\Users\96015\Desktop\EMR Log\\.txt</v>
      </c>
      <c r="AB88" s="34"/>
    </row>
    <row r="89" spans="1:28" x14ac:dyDescent="0.25">
      <c r="A89" s="110"/>
      <c r="C89" s="110"/>
      <c r="D89" s="110"/>
      <c r="F89" s="140"/>
      <c r="G89" s="115"/>
      <c r="H89" s="35"/>
      <c r="I89" s="34"/>
      <c r="J89" s="34"/>
      <c r="L89" s="34"/>
      <c r="N89" s="34"/>
      <c r="R89" s="57"/>
      <c r="S89" s="61" t="str">
        <f t="shared" si="6"/>
        <v>C:\Users\96015\Desktop\EMR Log\</v>
      </c>
      <c r="T89" s="57" t="str">
        <f t="shared" si="7"/>
        <v>C:\Users\96015\Desktop\EMR Log\\.txt</v>
      </c>
      <c r="X89" s="29" t="str">
        <f t="shared" si="8"/>
        <v>C:\Users\96015\Desktop\EMR Log\</v>
      </c>
      <c r="Y89" s="30" t="str">
        <f t="shared" si="9"/>
        <v>C:\Users\96015\Desktop\EMR Log\\.txt</v>
      </c>
      <c r="AB89" s="34"/>
    </row>
    <row r="90" spans="1:28" x14ac:dyDescent="0.25">
      <c r="A90" s="110"/>
      <c r="C90" s="110"/>
      <c r="D90" s="110"/>
      <c r="F90" s="140"/>
      <c r="G90" s="115"/>
      <c r="H90" s="35"/>
      <c r="I90" s="34"/>
      <c r="J90" s="34"/>
      <c r="L90" s="34"/>
      <c r="N90" s="34"/>
      <c r="R90" s="57"/>
      <c r="S90" s="61" t="str">
        <f t="shared" si="6"/>
        <v>C:\Users\96015\Desktop\EMR Log\</v>
      </c>
      <c r="T90" s="57" t="str">
        <f t="shared" si="7"/>
        <v>C:\Users\96015\Desktop\EMR Log\\.txt</v>
      </c>
      <c r="X90" s="29" t="str">
        <f t="shared" si="8"/>
        <v>C:\Users\96015\Desktop\EMR Log\</v>
      </c>
      <c r="Y90" s="30" t="str">
        <f t="shared" si="9"/>
        <v>C:\Users\96015\Desktop\EMR Log\\.txt</v>
      </c>
      <c r="AB90" s="34"/>
    </row>
    <row r="91" spans="1:28" x14ac:dyDescent="0.25">
      <c r="A91" s="110"/>
      <c r="C91" s="110"/>
      <c r="D91" s="110"/>
      <c r="F91" s="140"/>
      <c r="G91" s="115"/>
      <c r="H91" s="35"/>
      <c r="I91" s="34"/>
      <c r="J91" s="34"/>
      <c r="L91" s="34"/>
      <c r="N91" s="34"/>
      <c r="R91" s="57"/>
      <c r="S91" s="61" t="str">
        <f t="shared" si="6"/>
        <v>C:\Users\96015\Desktop\EMR Log\</v>
      </c>
      <c r="T91" s="57" t="str">
        <f t="shared" si="7"/>
        <v>C:\Users\96015\Desktop\EMR Log\\.txt</v>
      </c>
      <c r="X91" s="29" t="str">
        <f t="shared" si="8"/>
        <v>C:\Users\96015\Desktop\EMR Log\</v>
      </c>
      <c r="Y91" s="30" t="str">
        <f t="shared" si="9"/>
        <v>C:\Users\96015\Desktop\EMR Log\\.txt</v>
      </c>
      <c r="AB91" s="34"/>
    </row>
    <row r="92" spans="1:28" x14ac:dyDescent="0.25">
      <c r="A92" s="110"/>
      <c r="C92" s="110"/>
      <c r="D92" s="110"/>
      <c r="F92" s="140"/>
      <c r="G92" s="115"/>
      <c r="H92" s="35"/>
      <c r="I92" s="34"/>
      <c r="J92" s="34"/>
      <c r="L92" s="34"/>
      <c r="N92" s="34"/>
      <c r="R92" s="57"/>
      <c r="S92" s="61" t="str">
        <f t="shared" si="6"/>
        <v>C:\Users\96015\Desktop\EMR Log\</v>
      </c>
      <c r="T92" s="57" t="str">
        <f t="shared" si="7"/>
        <v>C:\Users\96015\Desktop\EMR Log\\.txt</v>
      </c>
      <c r="X92" s="29" t="str">
        <f t="shared" si="8"/>
        <v>C:\Users\96015\Desktop\EMR Log\</v>
      </c>
      <c r="Y92" s="30" t="str">
        <f t="shared" si="9"/>
        <v>C:\Users\96015\Desktop\EMR Log\\.txt</v>
      </c>
      <c r="AB92" s="34"/>
    </row>
    <row r="93" spans="1:28" x14ac:dyDescent="0.25">
      <c r="A93" s="110"/>
      <c r="C93" s="110"/>
      <c r="D93" s="110"/>
      <c r="F93" s="140"/>
      <c r="G93" s="115"/>
      <c r="H93" s="35"/>
      <c r="I93" s="34"/>
      <c r="J93" s="34"/>
      <c r="L93" s="34"/>
      <c r="N93" s="34"/>
      <c r="R93" s="57"/>
      <c r="S93" s="61" t="str">
        <f t="shared" si="6"/>
        <v>C:\Users\96015\Desktop\EMR Log\</v>
      </c>
      <c r="T93" s="57" t="str">
        <f t="shared" si="7"/>
        <v>C:\Users\96015\Desktop\EMR Log\\.txt</v>
      </c>
      <c r="X93" s="29" t="str">
        <f t="shared" si="8"/>
        <v>C:\Users\96015\Desktop\EMR Log\</v>
      </c>
      <c r="Y93" s="30" t="str">
        <f t="shared" si="9"/>
        <v>C:\Users\96015\Desktop\EMR Log\\.txt</v>
      </c>
      <c r="AB93" s="34"/>
    </row>
    <row r="94" spans="1:28" x14ac:dyDescent="0.25">
      <c r="A94" s="110"/>
      <c r="C94" s="110"/>
      <c r="D94" s="110"/>
      <c r="F94" s="140"/>
      <c r="G94" s="115"/>
      <c r="H94" s="35"/>
      <c r="I94" s="34"/>
      <c r="J94" s="34"/>
      <c r="L94" s="34"/>
      <c r="N94" s="34"/>
      <c r="R94" s="57"/>
      <c r="S94" s="61" t="str">
        <f t="shared" si="6"/>
        <v>C:\Users\96015\Desktop\EMR Log\</v>
      </c>
      <c r="T94" s="57" t="str">
        <f t="shared" si="7"/>
        <v>C:\Users\96015\Desktop\EMR Log\\.txt</v>
      </c>
      <c r="X94" s="29" t="str">
        <f t="shared" si="8"/>
        <v>C:\Users\96015\Desktop\EMR Log\</v>
      </c>
      <c r="Y94" s="30" t="str">
        <f t="shared" si="9"/>
        <v>C:\Users\96015\Desktop\EMR Log\\.txt</v>
      </c>
      <c r="AB94" s="34"/>
    </row>
    <row r="95" spans="1:28" x14ac:dyDescent="0.25">
      <c r="A95" s="110"/>
      <c r="C95" s="110"/>
      <c r="D95" s="110"/>
      <c r="F95" s="140"/>
      <c r="G95" s="115"/>
      <c r="H95" s="35"/>
      <c r="I95" s="34"/>
      <c r="J95" s="34"/>
      <c r="L95" s="34"/>
      <c r="N95" s="34"/>
      <c r="R95" s="57"/>
      <c r="S95" s="61" t="str">
        <f t="shared" si="6"/>
        <v>C:\Users\96015\Desktop\EMR Log\</v>
      </c>
      <c r="T95" s="57" t="str">
        <f t="shared" si="7"/>
        <v>C:\Users\96015\Desktop\EMR Log\\.txt</v>
      </c>
      <c r="X95" s="29" t="str">
        <f t="shared" si="8"/>
        <v>C:\Users\96015\Desktop\EMR Log\</v>
      </c>
      <c r="Y95" s="30" t="str">
        <f t="shared" si="9"/>
        <v>C:\Users\96015\Desktop\EMR Log\\.txt</v>
      </c>
      <c r="AB95" s="34"/>
    </row>
    <row r="96" spans="1:28" x14ac:dyDescent="0.25">
      <c r="A96" s="110"/>
      <c r="C96" s="110"/>
      <c r="D96" s="110"/>
      <c r="F96" s="140"/>
      <c r="G96" s="115"/>
      <c r="H96" s="35"/>
      <c r="I96" s="34"/>
      <c r="J96" s="34"/>
      <c r="L96" s="34"/>
      <c r="N96" s="34"/>
      <c r="R96" s="57"/>
      <c r="S96" s="61" t="str">
        <f t="shared" si="6"/>
        <v>C:\Users\96015\Desktop\EMR Log\</v>
      </c>
      <c r="T96" s="57" t="str">
        <f t="shared" si="7"/>
        <v>C:\Users\96015\Desktop\EMR Log\\.txt</v>
      </c>
      <c r="X96" s="29" t="str">
        <f t="shared" si="8"/>
        <v>C:\Users\96015\Desktop\EMR Log\</v>
      </c>
      <c r="Y96" s="30" t="str">
        <f t="shared" si="9"/>
        <v>C:\Users\96015\Desktop\EMR Log\\.txt</v>
      </c>
      <c r="AB96" s="34"/>
    </row>
    <row r="97" spans="1:28" x14ac:dyDescent="0.25">
      <c r="A97" s="110"/>
      <c r="C97" s="110"/>
      <c r="D97" s="110"/>
      <c r="F97" s="140"/>
      <c r="G97" s="115"/>
      <c r="H97" s="35"/>
      <c r="I97" s="34"/>
      <c r="J97" s="34"/>
      <c r="L97" s="34"/>
      <c r="N97" s="34"/>
      <c r="R97" s="57"/>
      <c r="S97" s="61" t="str">
        <f t="shared" si="6"/>
        <v>C:\Users\96015\Desktop\EMR Log\</v>
      </c>
      <c r="T97" s="57" t="str">
        <f t="shared" si="7"/>
        <v>C:\Users\96015\Desktop\EMR Log\\.txt</v>
      </c>
      <c r="X97" s="29" t="str">
        <f t="shared" si="8"/>
        <v>C:\Users\96015\Desktop\EMR Log\</v>
      </c>
      <c r="Y97" s="30" t="str">
        <f t="shared" si="9"/>
        <v>C:\Users\96015\Desktop\EMR Log\\.txt</v>
      </c>
      <c r="AB97" s="34"/>
    </row>
    <row r="98" spans="1:28" x14ac:dyDescent="0.25">
      <c r="A98" s="110"/>
      <c r="C98" s="110"/>
      <c r="D98" s="110"/>
      <c r="F98" s="140"/>
      <c r="G98" s="115"/>
      <c r="H98" s="35"/>
      <c r="I98" s="34"/>
      <c r="J98" s="34"/>
      <c r="L98" s="34"/>
      <c r="N98" s="34"/>
      <c r="R98" s="57"/>
      <c r="S98" s="61" t="str">
        <f t="shared" si="6"/>
        <v>C:\Users\96015\Desktop\EMR Log\</v>
      </c>
      <c r="T98" s="57" t="str">
        <f t="shared" si="7"/>
        <v>C:\Users\96015\Desktop\EMR Log\\.txt</v>
      </c>
      <c r="X98" s="29" t="str">
        <f t="shared" ref="X98:X112" si="10">CONCATENATE("C:\Users\96015\Desktop\EMR Log\",W98)</f>
        <v>C:\Users\96015\Desktop\EMR Log\</v>
      </c>
      <c r="Y98" s="30" t="str">
        <f t="shared" ref="Y98:Y112" si="11">CONCATENATE("C:\Users\96015\Desktop\EMR Log\",W98,"\", W98,".txt")</f>
        <v>C:\Users\96015\Desktop\EMR Log\\.txt</v>
      </c>
      <c r="AB98" s="34"/>
    </row>
    <row r="99" spans="1:28" x14ac:dyDescent="0.25">
      <c r="A99" s="110"/>
      <c r="C99" s="110"/>
      <c r="D99" s="110"/>
      <c r="F99" s="140"/>
      <c r="G99" s="115"/>
      <c r="H99" s="35"/>
      <c r="I99" s="34"/>
      <c r="J99" s="34"/>
      <c r="L99" s="34"/>
      <c r="N99" s="34"/>
      <c r="R99" s="57"/>
      <c r="S99" s="61" t="str">
        <f t="shared" si="6"/>
        <v>C:\Users\96015\Desktop\EMR Log\</v>
      </c>
      <c r="T99" s="57" t="str">
        <f t="shared" si="7"/>
        <v>C:\Users\96015\Desktop\EMR Log\\.txt</v>
      </c>
      <c r="X99" s="29" t="str">
        <f t="shared" si="10"/>
        <v>C:\Users\96015\Desktop\EMR Log\</v>
      </c>
      <c r="Y99" s="30" t="str">
        <f t="shared" si="11"/>
        <v>C:\Users\96015\Desktop\EMR Log\\.txt</v>
      </c>
      <c r="AB99" s="34"/>
    </row>
    <row r="100" spans="1:28" x14ac:dyDescent="0.25">
      <c r="A100" s="110"/>
      <c r="C100" s="110"/>
      <c r="D100" s="110"/>
      <c r="F100" s="140"/>
      <c r="G100" s="115"/>
      <c r="H100" s="35"/>
      <c r="I100" s="34"/>
      <c r="J100" s="34"/>
      <c r="L100" s="34"/>
      <c r="N100" s="34"/>
      <c r="R100" s="57"/>
      <c r="S100" s="61" t="str">
        <f t="shared" si="6"/>
        <v>C:\Users\96015\Desktop\EMR Log\</v>
      </c>
      <c r="T100" s="57" t="str">
        <f t="shared" si="7"/>
        <v>C:\Users\96015\Desktop\EMR Log\\.txt</v>
      </c>
      <c r="X100" s="29" t="str">
        <f t="shared" si="10"/>
        <v>C:\Users\96015\Desktop\EMR Log\</v>
      </c>
      <c r="Y100" s="30" t="str">
        <f t="shared" si="11"/>
        <v>C:\Users\96015\Desktop\EMR Log\\.txt</v>
      </c>
      <c r="AB100" s="34"/>
    </row>
    <row r="101" spans="1:28" x14ac:dyDescent="0.25">
      <c r="A101" s="110"/>
      <c r="C101" s="110"/>
      <c r="D101" s="110"/>
      <c r="F101" s="140"/>
      <c r="G101" s="115"/>
      <c r="H101" s="35"/>
      <c r="I101" s="34"/>
      <c r="J101" s="34"/>
      <c r="L101" s="34"/>
      <c r="N101" s="34"/>
      <c r="R101" s="57"/>
      <c r="S101" s="61" t="str">
        <f t="shared" si="6"/>
        <v>C:\Users\96015\Desktop\EMR Log\</v>
      </c>
      <c r="T101" s="57" t="str">
        <f t="shared" si="7"/>
        <v>C:\Users\96015\Desktop\EMR Log\\.txt</v>
      </c>
      <c r="X101" s="29" t="str">
        <f t="shared" si="10"/>
        <v>C:\Users\96015\Desktop\EMR Log\</v>
      </c>
      <c r="Y101" s="30" t="str">
        <f t="shared" si="11"/>
        <v>C:\Users\96015\Desktop\EMR Log\\.txt</v>
      </c>
      <c r="AB101" s="34"/>
    </row>
    <row r="102" spans="1:28" x14ac:dyDescent="0.25">
      <c r="A102" s="110"/>
      <c r="C102" s="110"/>
      <c r="D102" s="110"/>
      <c r="F102" s="140"/>
      <c r="G102" s="115"/>
      <c r="H102" s="35"/>
      <c r="I102" s="34"/>
      <c r="J102" s="34"/>
      <c r="L102" s="34"/>
      <c r="N102" s="34"/>
      <c r="R102" s="57"/>
      <c r="S102" s="61" t="str">
        <f t="shared" si="6"/>
        <v>C:\Users\96015\Desktop\EMR Log\</v>
      </c>
      <c r="T102" s="57" t="str">
        <f t="shared" si="7"/>
        <v>C:\Users\96015\Desktop\EMR Log\\.txt</v>
      </c>
      <c r="X102" s="29" t="str">
        <f t="shared" si="10"/>
        <v>C:\Users\96015\Desktop\EMR Log\</v>
      </c>
      <c r="Y102" s="30" t="str">
        <f t="shared" si="11"/>
        <v>C:\Users\96015\Desktop\EMR Log\\.txt</v>
      </c>
      <c r="AB102" s="34"/>
    </row>
    <row r="103" spans="1:28" x14ac:dyDescent="0.25">
      <c r="A103" s="110"/>
      <c r="C103" s="110"/>
      <c r="D103" s="110"/>
      <c r="F103" s="140"/>
      <c r="G103" s="115"/>
      <c r="H103" s="35"/>
      <c r="I103" s="34"/>
      <c r="J103" s="34"/>
      <c r="L103" s="34"/>
      <c r="N103" s="34"/>
      <c r="R103" s="57"/>
      <c r="S103" s="61" t="str">
        <f t="shared" si="6"/>
        <v>C:\Users\96015\Desktop\EMR Log\</v>
      </c>
      <c r="T103" s="57" t="str">
        <f t="shared" si="7"/>
        <v>C:\Users\96015\Desktop\EMR Log\\.txt</v>
      </c>
      <c r="X103" s="29" t="str">
        <f t="shared" si="10"/>
        <v>C:\Users\96015\Desktop\EMR Log\</v>
      </c>
      <c r="Y103" s="30" t="str">
        <f t="shared" si="11"/>
        <v>C:\Users\96015\Desktop\EMR Log\\.txt</v>
      </c>
      <c r="AB103" s="34"/>
    </row>
    <row r="104" spans="1:28" x14ac:dyDescent="0.25">
      <c r="A104" s="110"/>
      <c r="C104" s="110"/>
      <c r="D104" s="110"/>
      <c r="F104" s="140"/>
      <c r="G104" s="115"/>
      <c r="H104" s="35"/>
      <c r="I104" s="34"/>
      <c r="J104" s="34"/>
      <c r="L104" s="34"/>
      <c r="N104" s="34"/>
      <c r="R104" s="57"/>
      <c r="S104" s="61" t="str">
        <f t="shared" si="6"/>
        <v>C:\Users\96015\Desktop\EMR Log\</v>
      </c>
      <c r="T104" s="57" t="str">
        <f t="shared" si="7"/>
        <v>C:\Users\96015\Desktop\EMR Log\\.txt</v>
      </c>
      <c r="X104" s="29" t="str">
        <f t="shared" si="10"/>
        <v>C:\Users\96015\Desktop\EMR Log\</v>
      </c>
      <c r="Y104" s="30" t="str">
        <f t="shared" si="11"/>
        <v>C:\Users\96015\Desktop\EMR Log\\.txt</v>
      </c>
      <c r="AB104" s="34"/>
    </row>
    <row r="105" spans="1:28" x14ac:dyDescent="0.25">
      <c r="A105" s="110"/>
      <c r="C105" s="110"/>
      <c r="D105" s="110"/>
      <c r="F105" s="140"/>
      <c r="G105" s="115"/>
      <c r="H105" s="35"/>
      <c r="I105" s="34"/>
      <c r="J105" s="34"/>
      <c r="L105" s="34"/>
      <c r="N105" s="34"/>
      <c r="R105" s="57"/>
      <c r="S105" s="61" t="str">
        <f t="shared" si="6"/>
        <v>C:\Users\96015\Desktop\EMR Log\</v>
      </c>
      <c r="T105" s="57" t="str">
        <f t="shared" si="7"/>
        <v>C:\Users\96015\Desktop\EMR Log\\.txt</v>
      </c>
      <c r="X105" s="29" t="str">
        <f t="shared" si="10"/>
        <v>C:\Users\96015\Desktop\EMR Log\</v>
      </c>
      <c r="Y105" s="30" t="str">
        <f t="shared" si="11"/>
        <v>C:\Users\96015\Desktop\EMR Log\\.txt</v>
      </c>
      <c r="AB105" s="34"/>
    </row>
    <row r="106" spans="1:28" x14ac:dyDescent="0.25">
      <c r="A106" s="110"/>
      <c r="C106" s="110"/>
      <c r="D106" s="110"/>
      <c r="F106" s="140"/>
      <c r="G106" s="115"/>
      <c r="H106" s="35"/>
      <c r="I106" s="34"/>
      <c r="J106" s="34"/>
      <c r="L106" s="34"/>
      <c r="N106" s="34"/>
      <c r="R106" s="57"/>
      <c r="S106" s="61" t="str">
        <f t="shared" si="6"/>
        <v>C:\Users\96015\Desktop\EMR Log\</v>
      </c>
      <c r="T106" s="57" t="str">
        <f t="shared" si="7"/>
        <v>C:\Users\96015\Desktop\EMR Log\\.txt</v>
      </c>
      <c r="X106" s="29" t="str">
        <f t="shared" si="10"/>
        <v>C:\Users\96015\Desktop\EMR Log\</v>
      </c>
      <c r="Y106" s="30" t="str">
        <f t="shared" si="11"/>
        <v>C:\Users\96015\Desktop\EMR Log\\.txt</v>
      </c>
      <c r="AB106" s="34"/>
    </row>
    <row r="107" spans="1:28" x14ac:dyDescent="0.25">
      <c r="A107" s="110"/>
      <c r="C107" s="110"/>
      <c r="D107" s="110"/>
      <c r="F107" s="140"/>
      <c r="G107" s="115"/>
      <c r="H107" s="35"/>
      <c r="I107" s="34"/>
      <c r="J107" s="34"/>
      <c r="L107" s="34"/>
      <c r="N107" s="34"/>
      <c r="R107" s="57"/>
      <c r="S107" s="61" t="str">
        <f t="shared" si="6"/>
        <v>C:\Users\96015\Desktop\EMR Log\</v>
      </c>
      <c r="T107" s="57" t="str">
        <f t="shared" si="7"/>
        <v>C:\Users\96015\Desktop\EMR Log\\.txt</v>
      </c>
      <c r="X107" s="29" t="str">
        <f t="shared" si="10"/>
        <v>C:\Users\96015\Desktop\EMR Log\</v>
      </c>
      <c r="Y107" s="30" t="str">
        <f t="shared" si="11"/>
        <v>C:\Users\96015\Desktop\EMR Log\\.txt</v>
      </c>
      <c r="AB107" s="34"/>
    </row>
    <row r="108" spans="1:28" x14ac:dyDescent="0.25">
      <c r="A108" s="110"/>
      <c r="C108" s="110"/>
      <c r="D108" s="110"/>
      <c r="F108" s="140"/>
      <c r="G108" s="115"/>
      <c r="H108" s="35"/>
      <c r="I108" s="34"/>
      <c r="J108" s="34"/>
      <c r="L108" s="34"/>
      <c r="N108" s="34"/>
      <c r="R108" s="57"/>
      <c r="S108" s="61" t="str">
        <f t="shared" si="6"/>
        <v>C:\Users\96015\Desktop\EMR Log\</v>
      </c>
      <c r="T108" s="57" t="str">
        <f t="shared" si="7"/>
        <v>C:\Users\96015\Desktop\EMR Log\\.txt</v>
      </c>
      <c r="X108" s="29" t="str">
        <f t="shared" si="10"/>
        <v>C:\Users\96015\Desktop\EMR Log\</v>
      </c>
      <c r="Y108" s="30" t="str">
        <f t="shared" si="11"/>
        <v>C:\Users\96015\Desktop\EMR Log\\.txt</v>
      </c>
      <c r="AB108" s="34"/>
    </row>
    <row r="109" spans="1:28" x14ac:dyDescent="0.25">
      <c r="A109" s="110"/>
      <c r="C109" s="110"/>
      <c r="D109" s="110"/>
      <c r="F109" s="140"/>
      <c r="G109" s="115"/>
      <c r="H109" s="35"/>
      <c r="I109" s="34"/>
      <c r="J109" s="34"/>
      <c r="L109" s="34"/>
      <c r="N109" s="34"/>
      <c r="R109" s="57"/>
      <c r="S109" s="61" t="str">
        <f t="shared" si="6"/>
        <v>C:\Users\96015\Desktop\EMR Log\</v>
      </c>
      <c r="T109" s="57" t="str">
        <f t="shared" si="7"/>
        <v>C:\Users\96015\Desktop\EMR Log\\.txt</v>
      </c>
      <c r="X109" s="29" t="str">
        <f t="shared" si="10"/>
        <v>C:\Users\96015\Desktop\EMR Log\</v>
      </c>
      <c r="Y109" s="30" t="str">
        <f t="shared" si="11"/>
        <v>C:\Users\96015\Desktop\EMR Log\\.txt</v>
      </c>
      <c r="AB109" s="34"/>
    </row>
    <row r="110" spans="1:28" x14ac:dyDescent="0.25">
      <c r="A110" s="110"/>
      <c r="C110" s="110"/>
      <c r="D110" s="110"/>
      <c r="F110" s="140"/>
      <c r="G110" s="116"/>
      <c r="H110" s="35"/>
      <c r="I110" s="34"/>
      <c r="J110" s="34"/>
      <c r="L110" s="34"/>
      <c r="N110" s="34"/>
      <c r="R110" s="57"/>
      <c r="S110" s="61" t="str">
        <f t="shared" si="6"/>
        <v>C:\Users\96015\Desktop\EMR Log\</v>
      </c>
      <c r="T110" s="57" t="str">
        <f t="shared" si="7"/>
        <v>C:\Users\96015\Desktop\EMR Log\\.txt</v>
      </c>
      <c r="X110" s="29" t="str">
        <f t="shared" si="10"/>
        <v>C:\Users\96015\Desktop\EMR Log\</v>
      </c>
      <c r="Y110" s="30" t="str">
        <f t="shared" si="11"/>
        <v>C:\Users\96015\Desktop\EMR Log\\.txt</v>
      </c>
      <c r="AB110" s="34"/>
    </row>
    <row r="111" spans="1:28" x14ac:dyDescent="0.25">
      <c r="A111" s="110"/>
      <c r="C111" s="110"/>
      <c r="D111" s="110"/>
      <c r="F111" s="140"/>
      <c r="G111" s="115"/>
      <c r="H111" s="35"/>
      <c r="I111" s="34"/>
      <c r="J111" s="34"/>
      <c r="L111" s="34"/>
      <c r="N111" s="34"/>
      <c r="R111" s="57"/>
      <c r="S111" s="61" t="str">
        <f t="shared" si="6"/>
        <v>C:\Users\96015\Desktop\EMR Log\</v>
      </c>
      <c r="T111" s="57" t="str">
        <f t="shared" si="7"/>
        <v>C:\Users\96015\Desktop\EMR Log\\.txt</v>
      </c>
      <c r="X111" s="29" t="str">
        <f t="shared" si="10"/>
        <v>C:\Users\96015\Desktop\EMR Log\</v>
      </c>
      <c r="Y111" s="30" t="str">
        <f t="shared" si="11"/>
        <v>C:\Users\96015\Desktop\EMR Log\\.txt</v>
      </c>
      <c r="AB111" s="34"/>
    </row>
    <row r="112" spans="1:28" x14ac:dyDescent="0.25">
      <c r="A112" s="110"/>
      <c r="C112" s="110"/>
      <c r="D112" s="110"/>
      <c r="F112" s="140"/>
      <c r="G112" s="115"/>
      <c r="H112" s="35"/>
      <c r="I112" s="34"/>
      <c r="J112" s="34"/>
      <c r="L112" s="34"/>
      <c r="N112" s="34"/>
      <c r="R112" s="57"/>
      <c r="S112" s="61" t="str">
        <f t="shared" si="6"/>
        <v>C:\Users\96015\Desktop\EMR Log\</v>
      </c>
      <c r="T112" s="57" t="str">
        <f t="shared" si="7"/>
        <v>C:\Users\96015\Desktop\EMR Log\\.txt</v>
      </c>
      <c r="X112" s="29" t="str">
        <f t="shared" si="10"/>
        <v>C:\Users\96015\Desktop\EMR Log\</v>
      </c>
      <c r="Y112" s="30" t="str">
        <f t="shared" si="11"/>
        <v>C:\Users\96015\Desktop\EMR Log\\.txt</v>
      </c>
      <c r="AB112" s="34"/>
    </row>
    <row r="113" spans="1:37" x14ac:dyDescent="0.25">
      <c r="A113" s="110"/>
      <c r="C113" s="110"/>
      <c r="D113" s="110"/>
      <c r="F113" s="140"/>
      <c r="G113" s="115"/>
      <c r="H113" s="35"/>
      <c r="I113" s="34"/>
      <c r="J113" s="34"/>
      <c r="L113" s="34"/>
      <c r="N113" s="34"/>
      <c r="R113" s="57"/>
      <c r="S113" s="61" t="str">
        <f t="shared" si="6"/>
        <v>C:\Users\96015\Desktop\EMR Log\</v>
      </c>
      <c r="T113" s="57" t="str">
        <f t="shared" si="7"/>
        <v>C:\Users\96015\Desktop\EMR Log\\.txt</v>
      </c>
      <c r="X113" s="58"/>
      <c r="Y113" s="58"/>
      <c r="Z113" s="58"/>
      <c r="AA113" s="58"/>
      <c r="AB113" s="34"/>
      <c r="AC113" s="58"/>
      <c r="AE113" s="58"/>
      <c r="AF113" s="58"/>
      <c r="AG113" s="58"/>
      <c r="AH113" s="58"/>
      <c r="AI113" s="58"/>
      <c r="AJ113" s="58"/>
      <c r="AK113" s="58"/>
    </row>
    <row r="114" spans="1:37" x14ac:dyDescent="0.25">
      <c r="A114" s="110"/>
      <c r="C114" s="110"/>
      <c r="D114" s="110"/>
      <c r="F114" s="140"/>
      <c r="G114" s="115"/>
      <c r="H114" s="35"/>
      <c r="I114" s="34"/>
      <c r="J114" s="34"/>
      <c r="L114" s="34"/>
      <c r="N114" s="34"/>
      <c r="R114" s="57"/>
      <c r="S114" s="61" t="str">
        <f t="shared" si="6"/>
        <v>C:\Users\96015\Desktop\EMR Log\</v>
      </c>
      <c r="T114" s="57" t="str">
        <f t="shared" si="7"/>
        <v>C:\Users\96015\Desktop\EMR Log\\.txt</v>
      </c>
      <c r="X114" s="58"/>
      <c r="Y114" s="58"/>
      <c r="Z114" s="58"/>
      <c r="AA114" s="58"/>
      <c r="AB114" s="34"/>
      <c r="AC114" s="58"/>
      <c r="AD114" s="58"/>
      <c r="AE114" s="58"/>
      <c r="AF114" s="58"/>
      <c r="AG114" s="58"/>
      <c r="AH114" s="58"/>
      <c r="AI114" s="58"/>
      <c r="AJ114" s="58"/>
      <c r="AK114" s="58"/>
    </row>
    <row r="115" spans="1:37" x14ac:dyDescent="0.25">
      <c r="A115" s="110"/>
      <c r="C115" s="110"/>
      <c r="D115" s="110"/>
      <c r="F115" s="140"/>
      <c r="G115" s="115"/>
      <c r="H115" s="35"/>
      <c r="I115" s="34"/>
      <c r="J115" s="34"/>
      <c r="L115" s="34"/>
      <c r="N115" s="34"/>
      <c r="R115" s="57"/>
      <c r="S115" s="61" t="str">
        <f t="shared" si="6"/>
        <v>C:\Users\96015\Desktop\EMR Log\</v>
      </c>
      <c r="T115" s="57" t="str">
        <f t="shared" si="7"/>
        <v>C:\Users\96015\Desktop\EMR Log\\.txt</v>
      </c>
      <c r="X115" s="58"/>
      <c r="Y115" s="58"/>
      <c r="Z115" s="58"/>
      <c r="AA115" s="58"/>
      <c r="AB115" s="34"/>
      <c r="AC115" s="58"/>
      <c r="AD115" s="58"/>
      <c r="AE115" s="58"/>
      <c r="AF115" s="58"/>
      <c r="AG115" s="58"/>
      <c r="AH115" s="58"/>
      <c r="AI115" s="58"/>
      <c r="AJ115" s="58"/>
      <c r="AK115" s="58"/>
    </row>
    <row r="116" spans="1:37" x14ac:dyDescent="0.25">
      <c r="A116" s="110"/>
      <c r="C116" s="110"/>
      <c r="D116" s="110"/>
      <c r="F116" s="140"/>
      <c r="G116" s="115"/>
      <c r="H116" s="35"/>
      <c r="I116" s="34"/>
      <c r="J116" s="34"/>
      <c r="L116" s="34"/>
      <c r="N116" s="34"/>
      <c r="R116" s="57"/>
      <c r="S116" s="61" t="str">
        <f t="shared" si="6"/>
        <v>C:\Users\96015\Desktop\EMR Log\</v>
      </c>
      <c r="T116" s="57" t="str">
        <f t="shared" si="7"/>
        <v>C:\Users\96015\Desktop\EMR Log\\.txt</v>
      </c>
      <c r="X116" s="58"/>
      <c r="Y116" s="58"/>
      <c r="Z116" s="58"/>
      <c r="AA116" s="58"/>
      <c r="AB116" s="34"/>
      <c r="AC116" s="58"/>
      <c r="AD116" s="58"/>
      <c r="AE116" s="58"/>
      <c r="AF116" s="58"/>
      <c r="AG116" s="58"/>
      <c r="AH116" s="58"/>
      <c r="AI116" s="58"/>
      <c r="AJ116" s="58"/>
      <c r="AK116" s="58"/>
    </row>
    <row r="117" spans="1:37" x14ac:dyDescent="0.25">
      <c r="A117" s="110"/>
      <c r="C117" s="110"/>
      <c r="D117" s="110"/>
      <c r="F117" s="140"/>
      <c r="G117" s="115"/>
      <c r="H117" s="35"/>
      <c r="I117" s="34"/>
      <c r="J117" s="34"/>
      <c r="L117" s="34"/>
      <c r="N117" s="34"/>
      <c r="R117" s="57"/>
      <c r="S117" s="61" t="str">
        <f t="shared" si="6"/>
        <v>C:\Users\96015\Desktop\EMR Log\</v>
      </c>
      <c r="T117" s="57" t="str">
        <f t="shared" si="7"/>
        <v>C:\Users\96015\Desktop\EMR Log\\.txt</v>
      </c>
      <c r="X117" s="58"/>
      <c r="Y117" s="58"/>
      <c r="Z117" s="58"/>
      <c r="AA117" s="58"/>
      <c r="AB117" s="34"/>
      <c r="AC117" s="58"/>
      <c r="AD117" s="58"/>
      <c r="AE117" s="58"/>
      <c r="AF117" s="58"/>
      <c r="AG117" s="58"/>
      <c r="AH117" s="58"/>
      <c r="AI117" s="58"/>
      <c r="AJ117" s="58"/>
      <c r="AK117" s="58"/>
    </row>
    <row r="118" spans="1:37" x14ac:dyDescent="0.25">
      <c r="A118" s="110"/>
      <c r="C118" s="110"/>
      <c r="D118" s="110"/>
      <c r="F118" s="140"/>
      <c r="G118" s="115"/>
      <c r="H118" s="35"/>
      <c r="I118" s="34"/>
      <c r="J118" s="34"/>
      <c r="L118" s="34"/>
      <c r="N118" s="34"/>
      <c r="R118" s="57"/>
      <c r="S118" s="61" t="str">
        <f t="shared" si="6"/>
        <v>C:\Users\96015\Desktop\EMR Log\</v>
      </c>
      <c r="T118" s="57" t="str">
        <f t="shared" si="7"/>
        <v>C:\Users\96015\Desktop\EMR Log\\.txt</v>
      </c>
      <c r="X118" s="58"/>
      <c r="Y118" s="58"/>
      <c r="Z118" s="58"/>
      <c r="AA118" s="58"/>
      <c r="AB118" s="34"/>
      <c r="AC118" s="58"/>
      <c r="AD118" s="58"/>
      <c r="AE118" s="58"/>
      <c r="AF118" s="58"/>
      <c r="AG118" s="58"/>
      <c r="AH118" s="58"/>
      <c r="AI118" s="58"/>
      <c r="AJ118" s="58"/>
      <c r="AK118" s="58"/>
    </row>
    <row r="119" spans="1:37" x14ac:dyDescent="0.25">
      <c r="A119" s="110"/>
      <c r="C119" s="110"/>
      <c r="D119" s="110"/>
      <c r="F119" s="140"/>
      <c r="G119" s="115"/>
      <c r="H119" s="35"/>
      <c r="I119" s="34"/>
      <c r="J119" s="34"/>
      <c r="L119" s="34"/>
      <c r="N119" s="34"/>
      <c r="R119" s="57"/>
      <c r="S119" s="61" t="str">
        <f t="shared" si="6"/>
        <v>C:\Users\96015\Desktop\EMR Log\</v>
      </c>
      <c r="T119" s="57" t="str">
        <f t="shared" si="7"/>
        <v>C:\Users\96015\Desktop\EMR Log\\.txt</v>
      </c>
      <c r="X119" s="58"/>
      <c r="Y119" s="58"/>
      <c r="Z119" s="58"/>
      <c r="AA119" s="58"/>
      <c r="AB119" s="34"/>
      <c r="AC119" s="58"/>
      <c r="AD119" s="58"/>
      <c r="AE119" s="58"/>
      <c r="AF119" s="58"/>
      <c r="AG119" s="58"/>
      <c r="AH119" s="58"/>
      <c r="AI119" s="58"/>
      <c r="AJ119" s="58"/>
      <c r="AK119" s="58"/>
    </row>
    <row r="120" spans="1:37" x14ac:dyDescent="0.25">
      <c r="A120" s="110"/>
      <c r="C120" s="110"/>
      <c r="D120" s="110"/>
      <c r="F120" s="140"/>
      <c r="G120" s="115"/>
      <c r="H120" s="35"/>
      <c r="I120" s="34"/>
      <c r="J120" s="34"/>
      <c r="L120" s="34"/>
      <c r="N120" s="34"/>
      <c r="R120" s="57"/>
      <c r="S120" s="61" t="str">
        <f t="shared" si="6"/>
        <v>C:\Users\96015\Desktop\EMR Log\</v>
      </c>
      <c r="T120" s="57" t="str">
        <f t="shared" si="7"/>
        <v>C:\Users\96015\Desktop\EMR Log\\.txt</v>
      </c>
      <c r="X120" s="58"/>
      <c r="Y120" s="58"/>
      <c r="Z120" s="58"/>
      <c r="AA120" s="58"/>
      <c r="AB120" s="34"/>
      <c r="AC120" s="58"/>
      <c r="AD120" s="58"/>
      <c r="AE120" s="58"/>
      <c r="AF120" s="58"/>
      <c r="AG120" s="58"/>
      <c r="AH120" s="58"/>
      <c r="AI120" s="58"/>
      <c r="AJ120" s="58"/>
      <c r="AK120" s="58"/>
    </row>
    <row r="121" spans="1:37" x14ac:dyDescent="0.25">
      <c r="A121" s="110"/>
      <c r="C121" s="110"/>
      <c r="D121" s="110"/>
      <c r="F121" s="140"/>
      <c r="G121" s="115"/>
      <c r="H121" s="35"/>
      <c r="I121" s="34"/>
      <c r="J121" s="34"/>
      <c r="L121" s="34"/>
      <c r="N121" s="34"/>
      <c r="R121" s="57"/>
      <c r="S121" s="61" t="str">
        <f t="shared" si="6"/>
        <v>C:\Users\96015\Desktop\EMR Log\</v>
      </c>
      <c r="T121" s="57" t="str">
        <f t="shared" si="7"/>
        <v>C:\Users\96015\Desktop\EMR Log\\.txt</v>
      </c>
      <c r="X121" s="58"/>
      <c r="Y121" s="58"/>
      <c r="Z121" s="58"/>
      <c r="AA121" s="58"/>
      <c r="AB121" s="34"/>
      <c r="AC121" s="58"/>
      <c r="AD121" s="58"/>
      <c r="AE121" s="58"/>
      <c r="AF121" s="58"/>
      <c r="AG121" s="58"/>
      <c r="AH121" s="58"/>
      <c r="AI121" s="58"/>
      <c r="AJ121" s="58"/>
      <c r="AK121" s="58"/>
    </row>
    <row r="122" spans="1:37" x14ac:dyDescent="0.25">
      <c r="A122" s="110"/>
      <c r="C122" s="110"/>
      <c r="D122" s="110"/>
      <c r="F122" s="140"/>
      <c r="G122" s="115"/>
      <c r="H122" s="35"/>
      <c r="I122" s="34"/>
      <c r="J122" s="34"/>
      <c r="L122" s="34"/>
      <c r="N122" s="34"/>
      <c r="R122" s="57"/>
      <c r="S122" s="61" t="str">
        <f t="shared" si="6"/>
        <v>C:\Users\96015\Desktop\EMR Log\</v>
      </c>
      <c r="T122" s="57" t="str">
        <f t="shared" si="7"/>
        <v>C:\Users\96015\Desktop\EMR Log\\.txt</v>
      </c>
      <c r="X122" s="58"/>
      <c r="Y122" s="58"/>
      <c r="Z122" s="58"/>
      <c r="AA122" s="58"/>
      <c r="AB122" s="34"/>
      <c r="AC122" s="58"/>
      <c r="AD122" s="58"/>
      <c r="AE122" s="58"/>
      <c r="AF122" s="58"/>
      <c r="AG122" s="58"/>
      <c r="AH122" s="58"/>
      <c r="AI122" s="58"/>
      <c r="AJ122" s="58"/>
      <c r="AK122" s="58"/>
    </row>
    <row r="123" spans="1:37" x14ac:dyDescent="0.25">
      <c r="A123" s="110"/>
      <c r="C123" s="110"/>
      <c r="D123" s="110"/>
      <c r="F123" s="140"/>
      <c r="G123" s="115"/>
      <c r="H123" s="35"/>
      <c r="I123" s="34"/>
      <c r="J123" s="34"/>
      <c r="L123" s="34"/>
      <c r="N123" s="34"/>
      <c r="R123" s="57"/>
      <c r="S123" s="61" t="str">
        <f t="shared" si="6"/>
        <v>C:\Users\96015\Desktop\EMR Log\</v>
      </c>
      <c r="T123" s="57" t="str">
        <f t="shared" si="7"/>
        <v>C:\Users\96015\Desktop\EMR Log\\.txt</v>
      </c>
      <c r="X123" s="58"/>
      <c r="Y123" s="58"/>
      <c r="Z123" s="58"/>
      <c r="AA123" s="58"/>
      <c r="AB123" s="34"/>
      <c r="AC123" s="58"/>
      <c r="AD123" s="58"/>
      <c r="AE123" s="58"/>
      <c r="AF123" s="58"/>
      <c r="AG123" s="58"/>
      <c r="AH123" s="58"/>
      <c r="AI123" s="58"/>
      <c r="AJ123" s="58"/>
      <c r="AK123" s="58"/>
    </row>
    <row r="124" spans="1:37" x14ac:dyDescent="0.25">
      <c r="A124" s="110"/>
      <c r="C124" s="110"/>
      <c r="D124" s="110"/>
      <c r="F124" s="140"/>
      <c r="G124" s="115"/>
      <c r="H124" s="35"/>
      <c r="I124" s="34"/>
      <c r="J124" s="34"/>
      <c r="L124" s="34"/>
      <c r="N124" s="34"/>
      <c r="R124" s="57"/>
      <c r="S124" s="61" t="str">
        <f t="shared" si="6"/>
        <v>C:\Users\96015\Desktop\EMR Log\</v>
      </c>
      <c r="T124" s="57" t="str">
        <f t="shared" si="7"/>
        <v>C:\Users\96015\Desktop\EMR Log\\.txt</v>
      </c>
      <c r="X124" s="58"/>
      <c r="Y124" s="58"/>
      <c r="Z124" s="58"/>
      <c r="AA124" s="58"/>
      <c r="AB124" s="34"/>
      <c r="AC124" s="58"/>
      <c r="AD124" s="58"/>
      <c r="AE124" s="58"/>
      <c r="AF124" s="58"/>
      <c r="AG124" s="58"/>
      <c r="AH124" s="58"/>
      <c r="AI124" s="58"/>
      <c r="AJ124" s="58"/>
      <c r="AK124" s="58"/>
    </row>
    <row r="125" spans="1:37" x14ac:dyDescent="0.25">
      <c r="A125" s="110"/>
      <c r="C125" s="110"/>
      <c r="D125" s="110"/>
      <c r="F125" s="140"/>
      <c r="G125" s="115"/>
      <c r="H125" s="35"/>
      <c r="I125" s="34"/>
      <c r="J125" s="34"/>
      <c r="L125" s="34"/>
      <c r="N125" s="34"/>
      <c r="R125" s="57"/>
      <c r="S125" s="61" t="str">
        <f t="shared" si="6"/>
        <v>C:\Users\96015\Desktop\EMR Log\</v>
      </c>
      <c r="T125" s="57" t="str">
        <f t="shared" si="7"/>
        <v>C:\Users\96015\Desktop\EMR Log\\.txt</v>
      </c>
      <c r="X125" s="58"/>
      <c r="Y125" s="58"/>
      <c r="Z125" s="58"/>
      <c r="AA125" s="58"/>
      <c r="AB125" s="34"/>
      <c r="AC125" s="58"/>
      <c r="AD125" s="58"/>
      <c r="AE125" s="58"/>
      <c r="AF125" s="58"/>
      <c r="AG125" s="58"/>
      <c r="AH125" s="58"/>
      <c r="AI125" s="58"/>
      <c r="AJ125" s="58"/>
      <c r="AK125" s="58"/>
    </row>
    <row r="126" spans="1:37" x14ac:dyDescent="0.25">
      <c r="A126" s="110"/>
      <c r="C126" s="110"/>
      <c r="D126" s="110"/>
      <c r="F126" s="140"/>
      <c r="G126" s="115"/>
      <c r="H126" s="35"/>
      <c r="I126" s="34"/>
      <c r="J126" s="34"/>
      <c r="L126" s="34"/>
      <c r="N126" s="34"/>
      <c r="R126" s="57"/>
      <c r="S126" s="61" t="str">
        <f t="shared" si="6"/>
        <v>C:\Users\96015\Desktop\EMR Log\</v>
      </c>
      <c r="T126" s="57" t="str">
        <f t="shared" si="7"/>
        <v>C:\Users\96015\Desktop\EMR Log\\.txt</v>
      </c>
      <c r="X126" s="58"/>
      <c r="Y126" s="58"/>
      <c r="Z126" s="58"/>
      <c r="AA126" s="58"/>
      <c r="AB126" s="34"/>
      <c r="AC126" s="58"/>
      <c r="AD126" s="58"/>
      <c r="AE126" s="58"/>
      <c r="AF126" s="58"/>
      <c r="AG126" s="58"/>
      <c r="AH126" s="58"/>
      <c r="AI126" s="58"/>
      <c r="AJ126" s="58"/>
      <c r="AK126" s="58"/>
    </row>
    <row r="127" spans="1:37" x14ac:dyDescent="0.25">
      <c r="A127" s="110"/>
      <c r="C127" s="110"/>
      <c r="D127" s="110"/>
      <c r="F127" s="140"/>
      <c r="G127" s="115"/>
      <c r="H127" s="35"/>
      <c r="I127" s="34"/>
      <c r="J127" s="34"/>
      <c r="L127" s="34"/>
      <c r="N127" s="34"/>
      <c r="R127" s="57"/>
      <c r="S127" s="61" t="str">
        <f t="shared" si="6"/>
        <v>C:\Users\96015\Desktop\EMR Log\</v>
      </c>
      <c r="T127" s="57" t="str">
        <f t="shared" si="7"/>
        <v>C:\Users\96015\Desktop\EMR Log\\.txt</v>
      </c>
      <c r="X127" s="58"/>
      <c r="Y127" s="58"/>
      <c r="Z127" s="58"/>
      <c r="AA127" s="58"/>
      <c r="AB127" s="34"/>
      <c r="AC127" s="58"/>
      <c r="AD127" s="58"/>
      <c r="AE127" s="58"/>
      <c r="AF127" s="58"/>
      <c r="AG127" s="58"/>
      <c r="AH127" s="58"/>
      <c r="AI127" s="58"/>
      <c r="AJ127" s="58"/>
      <c r="AK127" s="58"/>
    </row>
    <row r="128" spans="1:37" x14ac:dyDescent="0.25">
      <c r="A128" s="110"/>
      <c r="C128" s="110"/>
      <c r="D128" s="110"/>
      <c r="F128" s="140"/>
      <c r="G128" s="115"/>
      <c r="H128" s="35"/>
      <c r="I128" s="34"/>
      <c r="J128" s="34"/>
      <c r="L128" s="34"/>
      <c r="N128" s="34"/>
      <c r="R128" s="57"/>
      <c r="S128" s="61" t="str">
        <f t="shared" si="6"/>
        <v>C:\Users\96015\Desktop\EMR Log\</v>
      </c>
      <c r="T128" s="57" t="str">
        <f t="shared" si="7"/>
        <v>C:\Users\96015\Desktop\EMR Log\\.txt</v>
      </c>
      <c r="X128" s="58"/>
      <c r="Y128" s="58"/>
      <c r="Z128" s="58"/>
      <c r="AA128" s="58"/>
      <c r="AB128" s="34"/>
      <c r="AC128" s="58"/>
      <c r="AD128" s="58"/>
      <c r="AE128" s="58"/>
      <c r="AF128" s="58"/>
      <c r="AG128" s="58"/>
      <c r="AH128" s="58"/>
      <c r="AI128" s="58"/>
      <c r="AJ128" s="58"/>
      <c r="AK128" s="58"/>
    </row>
    <row r="129" spans="1:37" x14ac:dyDescent="0.25">
      <c r="A129" s="110"/>
      <c r="C129" s="110"/>
      <c r="D129" s="110"/>
      <c r="F129" s="140"/>
      <c r="G129" s="115"/>
      <c r="H129" s="35"/>
      <c r="I129" s="34"/>
      <c r="J129" s="34"/>
      <c r="L129" s="34"/>
      <c r="N129" s="34"/>
      <c r="R129" s="57"/>
      <c r="S129" s="61" t="str">
        <f t="shared" si="6"/>
        <v>C:\Users\96015\Desktop\EMR Log\</v>
      </c>
      <c r="T129" s="57" t="str">
        <f t="shared" si="7"/>
        <v>C:\Users\96015\Desktop\EMR Log\\.txt</v>
      </c>
      <c r="X129" s="58"/>
      <c r="Y129" s="58"/>
      <c r="Z129" s="58"/>
      <c r="AA129" s="58"/>
      <c r="AB129" s="34"/>
      <c r="AC129" s="58"/>
      <c r="AD129" s="58"/>
      <c r="AE129" s="58"/>
      <c r="AF129" s="58"/>
      <c r="AG129" s="58"/>
      <c r="AH129" s="58"/>
      <c r="AI129" s="58"/>
      <c r="AJ129" s="58"/>
      <c r="AK129" s="58"/>
    </row>
    <row r="130" spans="1:37" x14ac:dyDescent="0.25">
      <c r="A130" s="110"/>
      <c r="C130" s="110"/>
      <c r="D130" s="110"/>
      <c r="F130" s="140"/>
      <c r="G130" s="115"/>
      <c r="H130" s="35"/>
      <c r="I130" s="34"/>
      <c r="J130" s="34"/>
      <c r="L130" s="34"/>
      <c r="N130" s="34"/>
      <c r="R130" s="57"/>
      <c r="S130" s="61" t="str">
        <f t="shared" ref="S130:S193" si="12">CONCATENATE("C:\Users\96015\Desktop\EMR Log\", R130)</f>
        <v>C:\Users\96015\Desktop\EMR Log\</v>
      </c>
      <c r="T130" s="57" t="str">
        <f t="shared" ref="T130:T193" si="13">CONCATENATE("C:\Users\96015\Desktop\EMR Log\",R130,"\",R130,".txt")</f>
        <v>C:\Users\96015\Desktop\EMR Log\\.txt</v>
      </c>
      <c r="X130" s="58"/>
      <c r="Y130" s="58"/>
      <c r="Z130" s="58"/>
      <c r="AA130" s="58"/>
      <c r="AB130" s="34"/>
      <c r="AC130" s="58"/>
      <c r="AD130" s="58"/>
      <c r="AE130" s="58"/>
      <c r="AF130" s="58"/>
      <c r="AG130" s="58"/>
      <c r="AH130" s="58"/>
      <c r="AI130" s="58"/>
      <c r="AJ130" s="58"/>
      <c r="AK130" s="58"/>
    </row>
    <row r="131" spans="1:37" x14ac:dyDescent="0.25">
      <c r="A131" s="110"/>
      <c r="C131" s="110"/>
      <c r="D131" s="110"/>
      <c r="F131" s="140"/>
      <c r="G131" s="115"/>
      <c r="H131" s="35"/>
      <c r="I131" s="34"/>
      <c r="J131" s="34"/>
      <c r="L131" s="34"/>
      <c r="N131" s="34"/>
      <c r="R131" s="57"/>
      <c r="S131" s="61" t="str">
        <f t="shared" si="12"/>
        <v>C:\Users\96015\Desktop\EMR Log\</v>
      </c>
      <c r="T131" s="57" t="str">
        <f t="shared" si="13"/>
        <v>C:\Users\96015\Desktop\EMR Log\\.txt</v>
      </c>
      <c r="X131" s="58"/>
      <c r="Y131" s="58"/>
      <c r="Z131" s="58"/>
      <c r="AA131" s="58"/>
      <c r="AB131" s="34"/>
      <c r="AC131" s="58"/>
      <c r="AD131" s="58"/>
      <c r="AE131" s="58"/>
      <c r="AF131" s="58"/>
      <c r="AG131" s="58"/>
      <c r="AH131" s="58"/>
      <c r="AI131" s="58"/>
      <c r="AJ131" s="58"/>
      <c r="AK131" s="58"/>
    </row>
    <row r="132" spans="1:37" x14ac:dyDescent="0.25">
      <c r="A132" s="110"/>
      <c r="C132" s="110"/>
      <c r="D132" s="110"/>
      <c r="F132" s="140"/>
      <c r="G132" s="115"/>
      <c r="H132" s="35"/>
      <c r="I132" s="34"/>
      <c r="J132" s="34"/>
      <c r="L132" s="34"/>
      <c r="N132" s="34"/>
      <c r="R132" s="57"/>
      <c r="S132" s="61" t="str">
        <f t="shared" si="12"/>
        <v>C:\Users\96015\Desktop\EMR Log\</v>
      </c>
      <c r="T132" s="57" t="str">
        <f t="shared" si="13"/>
        <v>C:\Users\96015\Desktop\EMR Log\\.txt</v>
      </c>
      <c r="X132" s="58"/>
      <c r="Y132" s="58"/>
      <c r="Z132" s="58"/>
      <c r="AA132" s="58"/>
      <c r="AB132" s="34"/>
      <c r="AC132" s="58"/>
      <c r="AD132" s="58"/>
      <c r="AE132" s="58"/>
      <c r="AF132" s="58"/>
      <c r="AG132" s="58"/>
      <c r="AH132" s="58"/>
      <c r="AI132" s="58"/>
      <c r="AJ132" s="58"/>
      <c r="AK132" s="58"/>
    </row>
    <row r="133" spans="1:37" x14ac:dyDescent="0.25">
      <c r="A133" s="110"/>
      <c r="C133" s="110"/>
      <c r="D133" s="110"/>
      <c r="F133" s="140"/>
      <c r="G133" s="115"/>
      <c r="H133" s="35"/>
      <c r="I133" s="34"/>
      <c r="J133" s="34"/>
      <c r="L133" s="34"/>
      <c r="N133" s="34"/>
      <c r="R133" s="57"/>
      <c r="S133" s="61" t="str">
        <f t="shared" si="12"/>
        <v>C:\Users\96015\Desktop\EMR Log\</v>
      </c>
      <c r="T133" s="57" t="str">
        <f t="shared" si="13"/>
        <v>C:\Users\96015\Desktop\EMR Log\\.txt</v>
      </c>
      <c r="X133" s="58"/>
      <c r="Y133" s="58"/>
      <c r="Z133" s="58"/>
      <c r="AA133" s="58"/>
      <c r="AB133" s="34"/>
      <c r="AC133" s="58"/>
      <c r="AD133" s="58"/>
      <c r="AE133" s="58"/>
      <c r="AF133" s="58"/>
      <c r="AG133" s="58"/>
      <c r="AH133" s="58"/>
      <c r="AI133" s="58"/>
      <c r="AJ133" s="58"/>
      <c r="AK133" s="58"/>
    </row>
    <row r="134" spans="1:37" x14ac:dyDescent="0.25">
      <c r="A134" s="110"/>
      <c r="C134" s="110"/>
      <c r="D134" s="110"/>
      <c r="F134" s="140"/>
      <c r="G134" s="115"/>
      <c r="H134" s="35"/>
      <c r="I134" s="34"/>
      <c r="J134" s="34"/>
      <c r="L134" s="34"/>
      <c r="N134" s="34"/>
      <c r="R134" s="57"/>
      <c r="S134" s="61" t="str">
        <f t="shared" si="12"/>
        <v>C:\Users\96015\Desktop\EMR Log\</v>
      </c>
      <c r="T134" s="57" t="str">
        <f t="shared" si="13"/>
        <v>C:\Users\96015\Desktop\EMR Log\\.txt</v>
      </c>
      <c r="X134" s="58"/>
      <c r="Y134" s="58"/>
      <c r="Z134" s="58"/>
      <c r="AA134" s="58"/>
      <c r="AB134" s="34"/>
      <c r="AC134" s="58"/>
      <c r="AD134" s="58"/>
      <c r="AE134" s="58"/>
      <c r="AF134" s="58"/>
      <c r="AG134" s="58"/>
      <c r="AH134" s="58"/>
      <c r="AI134" s="58"/>
      <c r="AJ134" s="58"/>
      <c r="AK134" s="58"/>
    </row>
    <row r="135" spans="1:37" x14ac:dyDescent="0.25">
      <c r="A135" s="110"/>
      <c r="C135" s="110"/>
      <c r="D135" s="110"/>
      <c r="F135" s="140"/>
      <c r="G135" s="115"/>
      <c r="H135" s="35"/>
      <c r="I135" s="34"/>
      <c r="J135" s="34"/>
      <c r="L135" s="34"/>
      <c r="N135" s="34"/>
      <c r="R135" s="57"/>
      <c r="S135" s="61" t="str">
        <f t="shared" si="12"/>
        <v>C:\Users\96015\Desktop\EMR Log\</v>
      </c>
      <c r="T135" s="57" t="str">
        <f t="shared" si="13"/>
        <v>C:\Users\96015\Desktop\EMR Log\\.txt</v>
      </c>
      <c r="X135" s="58"/>
      <c r="Y135" s="58"/>
      <c r="Z135" s="58"/>
      <c r="AA135" s="58"/>
      <c r="AB135" s="34"/>
      <c r="AC135" s="58"/>
      <c r="AD135" s="58"/>
      <c r="AE135" s="58"/>
      <c r="AF135" s="58"/>
      <c r="AG135" s="58"/>
      <c r="AH135" s="58"/>
      <c r="AI135" s="58"/>
      <c r="AJ135" s="58"/>
      <c r="AK135" s="58"/>
    </row>
    <row r="136" spans="1:37" x14ac:dyDescent="0.25">
      <c r="A136" s="110"/>
      <c r="C136" s="110"/>
      <c r="D136" s="110"/>
      <c r="F136" s="140"/>
      <c r="G136" s="115"/>
      <c r="H136" s="35"/>
      <c r="I136" s="34"/>
      <c r="J136" s="34"/>
      <c r="L136" s="34"/>
      <c r="N136" s="34"/>
      <c r="R136" s="57"/>
      <c r="S136" s="61" t="str">
        <f t="shared" si="12"/>
        <v>C:\Users\96015\Desktop\EMR Log\</v>
      </c>
      <c r="T136" s="57" t="str">
        <f t="shared" si="13"/>
        <v>C:\Users\96015\Desktop\EMR Log\\.txt</v>
      </c>
      <c r="X136" s="58"/>
      <c r="Y136" s="58"/>
      <c r="Z136" s="58"/>
      <c r="AA136" s="58"/>
      <c r="AB136" s="34"/>
      <c r="AC136" s="58"/>
      <c r="AD136" s="58"/>
      <c r="AE136" s="58"/>
      <c r="AF136" s="58"/>
      <c r="AG136" s="58"/>
      <c r="AH136" s="58"/>
      <c r="AI136" s="58"/>
      <c r="AJ136" s="58"/>
      <c r="AK136" s="58"/>
    </row>
    <row r="137" spans="1:37" x14ac:dyDescent="0.25">
      <c r="A137" s="110"/>
      <c r="C137" s="110"/>
      <c r="D137" s="110"/>
      <c r="F137" s="140"/>
      <c r="G137" s="115"/>
      <c r="H137" s="35"/>
      <c r="I137" s="34"/>
      <c r="J137" s="34"/>
      <c r="L137" s="34"/>
      <c r="N137" s="34"/>
      <c r="R137" s="57"/>
      <c r="S137" s="61" t="str">
        <f t="shared" si="12"/>
        <v>C:\Users\96015\Desktop\EMR Log\</v>
      </c>
      <c r="T137" s="57" t="str">
        <f t="shared" si="13"/>
        <v>C:\Users\96015\Desktop\EMR Log\\.txt</v>
      </c>
      <c r="X137" s="58"/>
      <c r="Y137" s="58"/>
      <c r="Z137" s="58"/>
      <c r="AA137" s="58"/>
      <c r="AB137" s="34"/>
      <c r="AC137" s="58"/>
      <c r="AD137" s="58"/>
      <c r="AE137" s="58"/>
      <c r="AF137" s="58"/>
      <c r="AG137" s="58"/>
      <c r="AH137" s="58"/>
      <c r="AI137" s="58"/>
      <c r="AJ137" s="58"/>
      <c r="AK137" s="58"/>
    </row>
    <row r="138" spans="1:37" x14ac:dyDescent="0.25">
      <c r="A138" s="110"/>
      <c r="C138" s="110"/>
      <c r="D138" s="110"/>
      <c r="F138" s="140"/>
      <c r="G138" s="115"/>
      <c r="H138" s="35"/>
      <c r="I138" s="34"/>
      <c r="J138" s="34"/>
      <c r="L138" s="34"/>
      <c r="N138" s="34"/>
      <c r="R138" s="57"/>
      <c r="S138" s="61" t="str">
        <f t="shared" si="12"/>
        <v>C:\Users\96015\Desktop\EMR Log\</v>
      </c>
      <c r="T138" s="57" t="str">
        <f t="shared" si="13"/>
        <v>C:\Users\96015\Desktop\EMR Log\\.txt</v>
      </c>
      <c r="X138" s="58"/>
      <c r="Y138" s="58"/>
      <c r="Z138" s="58"/>
      <c r="AA138" s="58"/>
      <c r="AB138" s="34"/>
      <c r="AC138" s="58"/>
      <c r="AD138" s="58"/>
      <c r="AE138" s="58"/>
      <c r="AF138" s="58"/>
      <c r="AG138" s="58"/>
      <c r="AH138" s="58"/>
      <c r="AI138" s="58"/>
      <c r="AJ138" s="58"/>
      <c r="AK138" s="58"/>
    </row>
    <row r="139" spans="1:37" x14ac:dyDescent="0.25">
      <c r="A139" s="110"/>
      <c r="C139" s="110"/>
      <c r="D139" s="110"/>
      <c r="F139" s="140"/>
      <c r="G139" s="115"/>
      <c r="H139" s="35"/>
      <c r="I139" s="34"/>
      <c r="J139" s="34"/>
      <c r="L139" s="34"/>
      <c r="N139" s="34"/>
      <c r="R139" s="57"/>
      <c r="S139" s="61" t="str">
        <f t="shared" si="12"/>
        <v>C:\Users\96015\Desktop\EMR Log\</v>
      </c>
      <c r="T139" s="57" t="str">
        <f t="shared" si="13"/>
        <v>C:\Users\96015\Desktop\EMR Log\\.txt</v>
      </c>
      <c r="X139" s="58"/>
      <c r="Y139" s="58"/>
      <c r="Z139" s="58"/>
      <c r="AA139" s="58"/>
      <c r="AB139" s="34"/>
      <c r="AC139" s="58"/>
      <c r="AD139" s="58"/>
      <c r="AE139" s="58"/>
      <c r="AF139" s="58"/>
      <c r="AG139" s="58"/>
      <c r="AH139" s="58"/>
      <c r="AI139" s="58"/>
      <c r="AJ139" s="58"/>
      <c r="AK139" s="58"/>
    </row>
    <row r="140" spans="1:37" x14ac:dyDescent="0.25">
      <c r="A140" s="110"/>
      <c r="C140" s="110"/>
      <c r="D140" s="110"/>
      <c r="F140" s="140"/>
      <c r="G140" s="116"/>
      <c r="H140" s="35"/>
      <c r="I140" s="34"/>
      <c r="J140" s="34"/>
      <c r="L140" s="34"/>
      <c r="N140" s="34"/>
      <c r="R140" s="57"/>
      <c r="S140" s="61" t="str">
        <f t="shared" si="12"/>
        <v>C:\Users\96015\Desktop\EMR Log\</v>
      </c>
      <c r="T140" s="57" t="str">
        <f t="shared" si="13"/>
        <v>C:\Users\96015\Desktop\EMR Log\\.txt</v>
      </c>
      <c r="X140" s="58"/>
      <c r="Y140" s="58"/>
      <c r="Z140" s="58"/>
      <c r="AA140" s="58"/>
      <c r="AB140" s="34"/>
      <c r="AC140" s="58"/>
      <c r="AD140" s="58"/>
      <c r="AE140" s="58"/>
      <c r="AF140" s="58"/>
      <c r="AG140" s="58"/>
      <c r="AH140" s="58"/>
      <c r="AI140" s="58"/>
      <c r="AJ140" s="58"/>
      <c r="AK140" s="58"/>
    </row>
    <row r="141" spans="1:37" x14ac:dyDescent="0.25">
      <c r="A141" s="110"/>
      <c r="C141" s="110"/>
      <c r="D141" s="110"/>
      <c r="F141" s="140"/>
      <c r="G141" s="115"/>
      <c r="H141" s="35"/>
      <c r="I141" s="34"/>
      <c r="J141" s="34"/>
      <c r="L141" s="34"/>
      <c r="N141" s="34"/>
      <c r="R141" s="57"/>
      <c r="S141" s="61" t="str">
        <f t="shared" si="12"/>
        <v>C:\Users\96015\Desktop\EMR Log\</v>
      </c>
      <c r="T141" s="57" t="str">
        <f t="shared" si="13"/>
        <v>C:\Users\96015\Desktop\EMR Log\\.txt</v>
      </c>
      <c r="X141" s="58"/>
      <c r="Y141" s="58"/>
      <c r="Z141" s="58"/>
      <c r="AA141" s="58"/>
      <c r="AB141" s="34"/>
      <c r="AC141" s="58"/>
      <c r="AD141" s="58"/>
      <c r="AE141" s="58"/>
      <c r="AF141" s="58"/>
      <c r="AG141" s="58"/>
      <c r="AH141" s="58"/>
      <c r="AI141" s="58"/>
      <c r="AJ141" s="58"/>
      <c r="AK141" s="58"/>
    </row>
    <row r="142" spans="1:37" x14ac:dyDescent="0.25">
      <c r="A142" s="110"/>
      <c r="C142" s="110"/>
      <c r="D142" s="110"/>
      <c r="F142" s="140"/>
      <c r="G142" s="115"/>
      <c r="H142" s="35"/>
      <c r="I142" s="34"/>
      <c r="J142" s="34"/>
      <c r="L142" s="34"/>
      <c r="N142" s="34"/>
      <c r="R142" s="57"/>
      <c r="S142" s="61" t="str">
        <f t="shared" si="12"/>
        <v>C:\Users\96015\Desktop\EMR Log\</v>
      </c>
      <c r="T142" s="57" t="str">
        <f t="shared" si="13"/>
        <v>C:\Users\96015\Desktop\EMR Log\\.txt</v>
      </c>
      <c r="X142" s="58"/>
      <c r="Y142" s="58"/>
      <c r="Z142" s="58"/>
      <c r="AA142" s="58"/>
      <c r="AB142" s="34"/>
      <c r="AC142" s="58"/>
      <c r="AD142" s="58"/>
      <c r="AE142" s="58"/>
      <c r="AF142" s="58"/>
      <c r="AG142" s="58"/>
      <c r="AH142" s="58"/>
      <c r="AI142" s="58"/>
      <c r="AJ142" s="58"/>
      <c r="AK142" s="58"/>
    </row>
    <row r="143" spans="1:37" x14ac:dyDescent="0.25">
      <c r="A143" s="110"/>
      <c r="C143" s="110"/>
      <c r="D143" s="110"/>
      <c r="F143" s="140"/>
      <c r="G143" s="115"/>
      <c r="H143" s="35"/>
      <c r="I143" s="34"/>
      <c r="J143" s="34"/>
      <c r="L143" s="34"/>
      <c r="N143" s="34"/>
      <c r="R143" s="57"/>
      <c r="S143" s="61" t="str">
        <f t="shared" si="12"/>
        <v>C:\Users\96015\Desktop\EMR Log\</v>
      </c>
      <c r="T143" s="57" t="str">
        <f t="shared" si="13"/>
        <v>C:\Users\96015\Desktop\EMR Log\\.txt</v>
      </c>
      <c r="X143" s="58"/>
      <c r="Y143" s="58"/>
      <c r="Z143" s="58"/>
      <c r="AA143" s="58"/>
      <c r="AB143" s="34"/>
      <c r="AC143" s="58"/>
      <c r="AD143" s="58"/>
      <c r="AE143" s="58"/>
      <c r="AF143" s="58"/>
      <c r="AG143" s="58"/>
      <c r="AH143" s="58"/>
      <c r="AI143" s="58"/>
      <c r="AJ143" s="58"/>
      <c r="AK143" s="58"/>
    </row>
    <row r="144" spans="1:37" x14ac:dyDescent="0.25">
      <c r="A144" s="110"/>
      <c r="C144" s="110"/>
      <c r="D144" s="110"/>
      <c r="F144" s="140"/>
      <c r="G144" s="115"/>
      <c r="H144" s="35"/>
      <c r="I144" s="34"/>
      <c r="J144" s="34"/>
      <c r="L144" s="34"/>
      <c r="N144" s="34"/>
      <c r="R144" s="57"/>
      <c r="S144" s="61" t="str">
        <f t="shared" si="12"/>
        <v>C:\Users\96015\Desktop\EMR Log\</v>
      </c>
      <c r="T144" s="57" t="str">
        <f t="shared" si="13"/>
        <v>C:\Users\96015\Desktop\EMR Log\\.txt</v>
      </c>
      <c r="X144" s="58"/>
      <c r="Y144" s="58"/>
      <c r="Z144" s="58"/>
      <c r="AA144" s="58"/>
      <c r="AB144" s="34"/>
      <c r="AC144" s="58"/>
      <c r="AD144" s="58"/>
      <c r="AE144" s="58"/>
      <c r="AF144" s="58"/>
      <c r="AG144" s="58"/>
      <c r="AH144" s="58"/>
      <c r="AI144" s="58"/>
      <c r="AJ144" s="58"/>
      <c r="AK144" s="58"/>
    </row>
    <row r="145" spans="1:37" x14ac:dyDescent="0.25">
      <c r="A145" s="110"/>
      <c r="C145" s="110"/>
      <c r="D145" s="110"/>
      <c r="F145" s="140"/>
      <c r="G145" s="115"/>
      <c r="H145" s="35"/>
      <c r="I145" s="34"/>
      <c r="J145" s="34"/>
      <c r="L145" s="34"/>
      <c r="N145" s="34"/>
      <c r="R145" s="57"/>
      <c r="S145" s="61" t="str">
        <f t="shared" si="12"/>
        <v>C:\Users\96015\Desktop\EMR Log\</v>
      </c>
      <c r="T145" s="57" t="str">
        <f t="shared" si="13"/>
        <v>C:\Users\96015\Desktop\EMR Log\\.txt</v>
      </c>
      <c r="X145" s="58"/>
      <c r="Y145" s="58"/>
      <c r="Z145" s="58"/>
      <c r="AA145" s="58"/>
      <c r="AB145" s="34"/>
      <c r="AC145" s="58"/>
      <c r="AD145" s="58"/>
      <c r="AE145" s="58"/>
      <c r="AF145" s="58"/>
      <c r="AG145" s="58"/>
      <c r="AH145" s="58"/>
      <c r="AI145" s="58"/>
      <c r="AJ145" s="58"/>
      <c r="AK145" s="58"/>
    </row>
    <row r="146" spans="1:37" x14ac:dyDescent="0.25">
      <c r="A146" s="110"/>
      <c r="C146" s="110"/>
      <c r="D146" s="110"/>
      <c r="F146" s="140"/>
      <c r="G146" s="115"/>
      <c r="H146" s="35"/>
      <c r="I146" s="34"/>
      <c r="J146" s="34"/>
      <c r="L146" s="34"/>
      <c r="N146" s="34"/>
      <c r="R146" s="57"/>
      <c r="S146" s="61" t="str">
        <f t="shared" si="12"/>
        <v>C:\Users\96015\Desktop\EMR Log\</v>
      </c>
      <c r="T146" s="57" t="str">
        <f t="shared" si="13"/>
        <v>C:\Users\96015\Desktop\EMR Log\\.txt</v>
      </c>
      <c r="X146" s="58"/>
      <c r="Y146" s="58"/>
      <c r="Z146" s="58"/>
      <c r="AA146" s="58"/>
      <c r="AB146" s="34"/>
      <c r="AC146" s="58"/>
      <c r="AD146" s="58"/>
      <c r="AE146" s="58"/>
      <c r="AF146" s="58"/>
      <c r="AG146" s="58"/>
      <c r="AH146" s="58"/>
      <c r="AI146" s="58"/>
      <c r="AJ146" s="58"/>
      <c r="AK146" s="58"/>
    </row>
    <row r="147" spans="1:37" x14ac:dyDescent="0.25">
      <c r="A147" s="110"/>
      <c r="C147" s="110"/>
      <c r="D147" s="110"/>
      <c r="F147" s="140"/>
      <c r="G147" s="115"/>
      <c r="H147" s="35"/>
      <c r="I147" s="34"/>
      <c r="J147" s="34"/>
      <c r="L147" s="34"/>
      <c r="N147" s="34"/>
      <c r="R147" s="57"/>
      <c r="S147" s="61" t="str">
        <f t="shared" si="12"/>
        <v>C:\Users\96015\Desktop\EMR Log\</v>
      </c>
      <c r="T147" s="57" t="str">
        <f t="shared" si="13"/>
        <v>C:\Users\96015\Desktop\EMR Log\\.txt</v>
      </c>
      <c r="X147" s="58"/>
      <c r="Y147" s="58"/>
      <c r="Z147" s="58"/>
      <c r="AA147" s="58"/>
      <c r="AB147" s="34"/>
      <c r="AC147" s="58"/>
      <c r="AD147" s="58"/>
      <c r="AE147" s="58"/>
      <c r="AF147" s="58"/>
      <c r="AG147" s="58"/>
      <c r="AH147" s="58"/>
      <c r="AI147" s="58"/>
      <c r="AJ147" s="58"/>
      <c r="AK147" s="58"/>
    </row>
    <row r="148" spans="1:37" x14ac:dyDescent="0.25">
      <c r="A148" s="110"/>
      <c r="C148" s="110"/>
      <c r="D148" s="110"/>
      <c r="F148" s="140"/>
      <c r="G148" s="115"/>
      <c r="H148" s="35"/>
      <c r="I148" s="34"/>
      <c r="J148" s="34"/>
      <c r="L148" s="34"/>
      <c r="N148" s="34"/>
      <c r="R148" s="57"/>
      <c r="S148" s="61" t="str">
        <f t="shared" si="12"/>
        <v>C:\Users\96015\Desktop\EMR Log\</v>
      </c>
      <c r="T148" s="57" t="str">
        <f t="shared" si="13"/>
        <v>C:\Users\96015\Desktop\EMR Log\\.txt</v>
      </c>
      <c r="X148" s="58"/>
      <c r="Y148" s="58"/>
      <c r="Z148" s="58"/>
      <c r="AA148" s="58"/>
      <c r="AB148" s="34"/>
      <c r="AC148" s="58"/>
      <c r="AD148" s="58"/>
      <c r="AE148" s="58"/>
      <c r="AF148" s="58"/>
      <c r="AG148" s="58"/>
      <c r="AH148" s="58"/>
      <c r="AI148" s="58"/>
      <c r="AJ148" s="58"/>
      <c r="AK148" s="58"/>
    </row>
    <row r="149" spans="1:37" x14ac:dyDescent="0.25">
      <c r="A149" s="110"/>
      <c r="C149" s="110"/>
      <c r="D149" s="110"/>
      <c r="F149" s="140"/>
      <c r="G149" s="115"/>
      <c r="H149" s="35"/>
      <c r="I149" s="34"/>
      <c r="J149" s="34"/>
      <c r="L149" s="34"/>
      <c r="N149" s="34"/>
      <c r="R149" s="57"/>
      <c r="S149" s="61" t="str">
        <f t="shared" si="12"/>
        <v>C:\Users\96015\Desktop\EMR Log\</v>
      </c>
      <c r="T149" s="57" t="str">
        <f t="shared" si="13"/>
        <v>C:\Users\96015\Desktop\EMR Log\\.txt</v>
      </c>
      <c r="X149" s="58"/>
      <c r="Y149" s="58"/>
      <c r="Z149" s="58"/>
      <c r="AA149" s="58"/>
      <c r="AB149" s="34"/>
      <c r="AC149" s="58"/>
      <c r="AD149" s="58"/>
      <c r="AE149" s="58"/>
      <c r="AF149" s="58"/>
      <c r="AG149" s="58"/>
      <c r="AH149" s="58"/>
      <c r="AI149" s="58"/>
      <c r="AJ149" s="58"/>
      <c r="AK149" s="58"/>
    </row>
    <row r="150" spans="1:37" x14ac:dyDescent="0.25">
      <c r="A150" s="110"/>
      <c r="C150" s="110"/>
      <c r="D150" s="110"/>
      <c r="F150" s="140"/>
      <c r="G150" s="115"/>
      <c r="H150" s="35"/>
      <c r="I150" s="34"/>
      <c r="J150" s="34"/>
      <c r="L150" s="34"/>
      <c r="N150" s="34"/>
      <c r="R150" s="57"/>
      <c r="S150" s="61" t="str">
        <f t="shared" si="12"/>
        <v>C:\Users\96015\Desktop\EMR Log\</v>
      </c>
      <c r="T150" s="57" t="str">
        <f t="shared" si="13"/>
        <v>C:\Users\96015\Desktop\EMR Log\\.txt</v>
      </c>
      <c r="AB150" s="34"/>
      <c r="AD150" s="58"/>
    </row>
    <row r="151" spans="1:37" x14ac:dyDescent="0.25">
      <c r="A151" s="110"/>
      <c r="C151" s="110"/>
      <c r="D151" s="110"/>
      <c r="F151" s="140"/>
      <c r="G151" s="115"/>
      <c r="H151" s="35"/>
      <c r="I151" s="34"/>
      <c r="J151" s="34"/>
      <c r="L151" s="34"/>
      <c r="N151" s="34"/>
      <c r="R151" s="57"/>
      <c r="S151" s="61" t="str">
        <f t="shared" si="12"/>
        <v>C:\Users\96015\Desktop\EMR Log\</v>
      </c>
      <c r="T151" s="57" t="str">
        <f t="shared" si="13"/>
        <v>C:\Users\96015\Desktop\EMR Log\\.txt</v>
      </c>
      <c r="AB151" s="34"/>
    </row>
    <row r="152" spans="1:37" x14ac:dyDescent="0.25">
      <c r="A152" s="110"/>
      <c r="C152" s="110"/>
      <c r="D152" s="110"/>
      <c r="F152" s="140"/>
      <c r="G152" s="115"/>
      <c r="H152" s="35"/>
      <c r="I152" s="34"/>
      <c r="J152" s="34"/>
      <c r="L152" s="34"/>
      <c r="N152" s="34"/>
      <c r="R152" s="57"/>
      <c r="S152" s="61" t="str">
        <f t="shared" si="12"/>
        <v>C:\Users\96015\Desktop\EMR Log\</v>
      </c>
      <c r="T152" s="57" t="str">
        <f t="shared" si="13"/>
        <v>C:\Users\96015\Desktop\EMR Log\\.txt</v>
      </c>
      <c r="AB152" s="34"/>
    </row>
    <row r="153" spans="1:37" x14ac:dyDescent="0.25">
      <c r="A153" s="110"/>
      <c r="C153" s="110"/>
      <c r="D153" s="110"/>
      <c r="F153" s="140"/>
      <c r="G153" s="115"/>
      <c r="H153" s="35"/>
      <c r="I153" s="34"/>
      <c r="J153" s="34"/>
      <c r="L153" s="34"/>
      <c r="N153" s="34"/>
      <c r="R153" s="57"/>
      <c r="S153" s="61" t="str">
        <f t="shared" si="12"/>
        <v>C:\Users\96015\Desktop\EMR Log\</v>
      </c>
      <c r="T153" s="57" t="str">
        <f t="shared" si="13"/>
        <v>C:\Users\96015\Desktop\EMR Log\\.txt</v>
      </c>
      <c r="AB153" s="34"/>
    </row>
    <row r="154" spans="1:37" x14ac:dyDescent="0.25">
      <c r="A154" s="110"/>
      <c r="C154" s="110"/>
      <c r="D154" s="110"/>
      <c r="F154" s="140"/>
      <c r="G154" s="115"/>
      <c r="H154" s="35"/>
      <c r="I154" s="34"/>
      <c r="J154" s="34"/>
      <c r="L154" s="34"/>
      <c r="N154" s="34"/>
      <c r="R154" s="57"/>
      <c r="S154" s="61" t="str">
        <f t="shared" si="12"/>
        <v>C:\Users\96015\Desktop\EMR Log\</v>
      </c>
      <c r="T154" s="57" t="str">
        <f t="shared" si="13"/>
        <v>C:\Users\96015\Desktop\EMR Log\\.txt</v>
      </c>
      <c r="AB154" s="34"/>
    </row>
    <row r="155" spans="1:37" x14ac:dyDescent="0.25">
      <c r="A155" s="110"/>
      <c r="C155" s="110"/>
      <c r="D155" s="110"/>
      <c r="F155" s="140"/>
      <c r="H155" s="34"/>
      <c r="I155" s="34"/>
      <c r="J155" s="34"/>
      <c r="L155" s="34"/>
      <c r="N155" s="34"/>
      <c r="R155" s="57"/>
      <c r="S155" s="61" t="str">
        <f t="shared" si="12"/>
        <v>C:\Users\96015\Desktop\EMR Log\</v>
      </c>
      <c r="T155" s="57" t="str">
        <f t="shared" si="13"/>
        <v>C:\Users\96015\Desktop\EMR Log\\.txt</v>
      </c>
      <c r="AB155" s="34"/>
    </row>
    <row r="156" spans="1:37" x14ac:dyDescent="0.25">
      <c r="A156" s="110"/>
      <c r="C156" s="110"/>
      <c r="D156" s="110"/>
      <c r="F156" s="140"/>
      <c r="H156" s="34"/>
      <c r="I156" s="34"/>
      <c r="J156" s="34"/>
      <c r="L156" s="34"/>
      <c r="N156" s="34"/>
      <c r="R156" s="57"/>
      <c r="S156" s="61" t="str">
        <f t="shared" si="12"/>
        <v>C:\Users\96015\Desktop\EMR Log\</v>
      </c>
      <c r="T156" s="57" t="str">
        <f t="shared" si="13"/>
        <v>C:\Users\96015\Desktop\EMR Log\\.txt</v>
      </c>
      <c r="AB156" s="34"/>
    </row>
    <row r="157" spans="1:37" x14ac:dyDescent="0.25">
      <c r="A157" s="110"/>
      <c r="C157" s="110"/>
      <c r="D157" s="110"/>
      <c r="F157" s="140"/>
      <c r="H157" s="34"/>
      <c r="I157" s="34"/>
      <c r="J157" s="34"/>
      <c r="L157" s="34"/>
      <c r="N157" s="34"/>
      <c r="R157" s="57"/>
      <c r="S157" s="61" t="str">
        <f t="shared" si="12"/>
        <v>C:\Users\96015\Desktop\EMR Log\</v>
      </c>
      <c r="T157" s="57" t="str">
        <f t="shared" si="13"/>
        <v>C:\Users\96015\Desktop\EMR Log\\.txt</v>
      </c>
      <c r="AB157" s="34"/>
    </row>
    <row r="158" spans="1:37" x14ac:dyDescent="0.25">
      <c r="A158" s="110"/>
      <c r="C158" s="110"/>
      <c r="D158" s="110"/>
      <c r="F158" s="140"/>
      <c r="H158" s="34"/>
      <c r="I158" s="34"/>
      <c r="J158" s="34"/>
      <c r="L158" s="34"/>
      <c r="N158" s="34"/>
      <c r="R158" s="57"/>
      <c r="S158" s="61" t="str">
        <f t="shared" si="12"/>
        <v>C:\Users\96015\Desktop\EMR Log\</v>
      </c>
      <c r="T158" s="57" t="str">
        <f t="shared" si="13"/>
        <v>C:\Users\96015\Desktop\EMR Log\\.txt</v>
      </c>
      <c r="AB158" s="34"/>
    </row>
    <row r="159" spans="1:37" x14ac:dyDescent="0.25">
      <c r="A159" s="110"/>
      <c r="C159" s="110"/>
      <c r="D159" s="110"/>
      <c r="F159" s="140"/>
      <c r="H159" s="34"/>
      <c r="I159" s="34"/>
      <c r="J159" s="34"/>
      <c r="L159" s="34"/>
      <c r="N159" s="34"/>
      <c r="R159" s="57"/>
      <c r="S159" s="61" t="str">
        <f t="shared" si="12"/>
        <v>C:\Users\96015\Desktop\EMR Log\</v>
      </c>
      <c r="T159" s="57" t="str">
        <f t="shared" si="13"/>
        <v>C:\Users\96015\Desktop\EMR Log\\.txt</v>
      </c>
      <c r="AB159" s="34"/>
    </row>
    <row r="160" spans="1:37" x14ac:dyDescent="0.25">
      <c r="A160" s="110"/>
      <c r="C160" s="110"/>
      <c r="D160" s="110"/>
      <c r="F160" s="140"/>
      <c r="H160" s="34"/>
      <c r="I160" s="34"/>
      <c r="J160" s="34"/>
      <c r="L160" s="34"/>
      <c r="N160" s="34"/>
      <c r="R160" s="57"/>
      <c r="S160" s="61" t="str">
        <f t="shared" si="12"/>
        <v>C:\Users\96015\Desktop\EMR Log\</v>
      </c>
      <c r="T160" s="57" t="str">
        <f t="shared" si="13"/>
        <v>C:\Users\96015\Desktop\EMR Log\\.txt</v>
      </c>
      <c r="AB160" s="34"/>
    </row>
    <row r="161" spans="1:28" x14ac:dyDescent="0.25">
      <c r="A161" s="110"/>
      <c r="C161" s="110"/>
      <c r="D161" s="110"/>
      <c r="F161" s="140"/>
      <c r="H161" s="34"/>
      <c r="I161" s="34"/>
      <c r="J161" s="34"/>
      <c r="L161" s="34"/>
      <c r="N161" s="34"/>
      <c r="R161" s="57"/>
      <c r="S161" s="61" t="str">
        <f t="shared" si="12"/>
        <v>C:\Users\96015\Desktop\EMR Log\</v>
      </c>
      <c r="T161" s="57" t="str">
        <f t="shared" si="13"/>
        <v>C:\Users\96015\Desktop\EMR Log\\.txt</v>
      </c>
      <c r="AB161" s="34"/>
    </row>
    <row r="162" spans="1:28" x14ac:dyDescent="0.25">
      <c r="A162" s="110"/>
      <c r="C162" s="110"/>
      <c r="D162" s="110"/>
      <c r="F162" s="140"/>
      <c r="H162" s="34"/>
      <c r="I162" s="34"/>
      <c r="J162" s="34"/>
      <c r="L162" s="34"/>
      <c r="N162" s="34"/>
      <c r="R162" s="57"/>
      <c r="S162" s="61" t="str">
        <f t="shared" si="12"/>
        <v>C:\Users\96015\Desktop\EMR Log\</v>
      </c>
      <c r="T162" s="57" t="str">
        <f t="shared" si="13"/>
        <v>C:\Users\96015\Desktop\EMR Log\\.txt</v>
      </c>
      <c r="AB162" s="34"/>
    </row>
    <row r="163" spans="1:28" x14ac:dyDescent="0.25">
      <c r="A163" s="110"/>
      <c r="C163" s="110"/>
      <c r="D163" s="110"/>
      <c r="F163" s="140"/>
      <c r="H163" s="34"/>
      <c r="I163" s="34"/>
      <c r="J163" s="34"/>
      <c r="L163" s="34"/>
      <c r="N163" s="34"/>
      <c r="R163" s="57"/>
      <c r="S163" s="61" t="str">
        <f t="shared" si="12"/>
        <v>C:\Users\96015\Desktop\EMR Log\</v>
      </c>
      <c r="T163" s="57" t="str">
        <f t="shared" si="13"/>
        <v>C:\Users\96015\Desktop\EMR Log\\.txt</v>
      </c>
      <c r="AB163" s="34"/>
    </row>
    <row r="164" spans="1:28" x14ac:dyDescent="0.25">
      <c r="A164" s="110"/>
      <c r="C164" s="110"/>
      <c r="D164" s="110"/>
      <c r="F164" s="140"/>
      <c r="H164" s="34"/>
      <c r="I164" s="34"/>
      <c r="J164" s="34"/>
      <c r="L164" s="34"/>
      <c r="N164" s="34"/>
      <c r="R164" s="57"/>
      <c r="S164" s="61" t="str">
        <f t="shared" si="12"/>
        <v>C:\Users\96015\Desktop\EMR Log\</v>
      </c>
      <c r="T164" s="57" t="str">
        <f t="shared" si="13"/>
        <v>C:\Users\96015\Desktop\EMR Log\\.txt</v>
      </c>
      <c r="AB164" s="34"/>
    </row>
    <row r="165" spans="1:28" x14ac:dyDescent="0.25">
      <c r="A165" s="110"/>
      <c r="C165" s="110"/>
      <c r="D165" s="110"/>
      <c r="F165" s="140"/>
      <c r="H165" s="34"/>
      <c r="I165" s="34"/>
      <c r="J165" s="34"/>
      <c r="L165" s="34"/>
      <c r="N165" s="34"/>
      <c r="R165" s="57"/>
      <c r="S165" s="61" t="str">
        <f t="shared" si="12"/>
        <v>C:\Users\96015\Desktop\EMR Log\</v>
      </c>
      <c r="T165" s="57" t="str">
        <f t="shared" si="13"/>
        <v>C:\Users\96015\Desktop\EMR Log\\.txt</v>
      </c>
      <c r="AB165" s="34"/>
    </row>
    <row r="166" spans="1:28" x14ac:dyDescent="0.25">
      <c r="A166" s="110"/>
      <c r="C166" s="110"/>
      <c r="D166" s="110"/>
      <c r="F166" s="140"/>
      <c r="H166" s="34"/>
      <c r="I166" s="34"/>
      <c r="J166" s="34"/>
      <c r="L166" s="34"/>
      <c r="N166" s="34"/>
      <c r="R166" s="57"/>
      <c r="S166" s="61" t="str">
        <f t="shared" si="12"/>
        <v>C:\Users\96015\Desktop\EMR Log\</v>
      </c>
      <c r="T166" s="57" t="str">
        <f t="shared" si="13"/>
        <v>C:\Users\96015\Desktop\EMR Log\\.txt</v>
      </c>
      <c r="AB166" s="34"/>
    </row>
    <row r="167" spans="1:28" x14ac:dyDescent="0.25">
      <c r="A167" s="110"/>
      <c r="C167" s="110"/>
      <c r="D167" s="110"/>
      <c r="F167" s="140"/>
      <c r="H167" s="34"/>
      <c r="I167" s="34"/>
      <c r="J167" s="34"/>
      <c r="L167" s="34"/>
      <c r="N167" s="34"/>
      <c r="R167" s="57"/>
      <c r="S167" s="61" t="str">
        <f t="shared" si="12"/>
        <v>C:\Users\96015\Desktop\EMR Log\</v>
      </c>
      <c r="T167" s="57" t="str">
        <f t="shared" si="13"/>
        <v>C:\Users\96015\Desktop\EMR Log\\.txt</v>
      </c>
      <c r="AB167" s="34"/>
    </row>
    <row r="168" spans="1:28" x14ac:dyDescent="0.25">
      <c r="A168" s="110"/>
      <c r="C168" s="110"/>
      <c r="D168" s="110"/>
      <c r="F168" s="140"/>
      <c r="H168" s="34"/>
      <c r="I168" s="34"/>
      <c r="J168" s="34"/>
      <c r="L168" s="34"/>
      <c r="N168" s="34"/>
      <c r="R168" s="57"/>
      <c r="S168" s="61" t="str">
        <f t="shared" si="12"/>
        <v>C:\Users\96015\Desktop\EMR Log\</v>
      </c>
      <c r="T168" s="57" t="str">
        <f t="shared" si="13"/>
        <v>C:\Users\96015\Desktop\EMR Log\\.txt</v>
      </c>
      <c r="AB168" s="34"/>
    </row>
    <row r="169" spans="1:28" x14ac:dyDescent="0.25">
      <c r="A169" s="110"/>
      <c r="C169" s="110"/>
      <c r="D169" s="110"/>
      <c r="F169" s="140"/>
      <c r="H169" s="34"/>
      <c r="I169" s="34"/>
      <c r="J169" s="34"/>
      <c r="L169" s="34"/>
      <c r="N169" s="34"/>
      <c r="R169" s="57"/>
      <c r="S169" s="61" t="str">
        <f t="shared" si="12"/>
        <v>C:\Users\96015\Desktop\EMR Log\</v>
      </c>
      <c r="T169" s="57" t="str">
        <f t="shared" si="13"/>
        <v>C:\Users\96015\Desktop\EMR Log\\.txt</v>
      </c>
      <c r="AB169" s="34"/>
    </row>
    <row r="170" spans="1:28" x14ac:dyDescent="0.25">
      <c r="A170" s="110"/>
      <c r="C170" s="110"/>
      <c r="D170" s="110"/>
      <c r="F170" s="140"/>
      <c r="H170" s="34"/>
      <c r="I170" s="34"/>
      <c r="J170" s="34"/>
      <c r="L170" s="34"/>
      <c r="N170" s="34"/>
      <c r="R170" s="57"/>
      <c r="S170" s="61" t="str">
        <f t="shared" si="12"/>
        <v>C:\Users\96015\Desktop\EMR Log\</v>
      </c>
      <c r="T170" s="57" t="str">
        <f t="shared" si="13"/>
        <v>C:\Users\96015\Desktop\EMR Log\\.txt</v>
      </c>
      <c r="AB170" s="34"/>
    </row>
    <row r="171" spans="1:28" x14ac:dyDescent="0.25">
      <c r="A171" s="110"/>
      <c r="C171" s="110"/>
      <c r="D171" s="110"/>
      <c r="F171" s="140"/>
      <c r="H171" s="34"/>
      <c r="I171" s="34"/>
      <c r="J171" s="34"/>
      <c r="L171" s="34"/>
      <c r="N171" s="34"/>
      <c r="R171" s="57"/>
      <c r="S171" s="61" t="str">
        <f t="shared" si="12"/>
        <v>C:\Users\96015\Desktop\EMR Log\</v>
      </c>
      <c r="T171" s="57" t="str">
        <f t="shared" si="13"/>
        <v>C:\Users\96015\Desktop\EMR Log\\.txt</v>
      </c>
      <c r="AB171" s="34"/>
    </row>
    <row r="172" spans="1:28" x14ac:dyDescent="0.25">
      <c r="A172" s="110"/>
      <c r="C172" s="110"/>
      <c r="D172" s="110"/>
      <c r="F172" s="140"/>
      <c r="G172" s="117"/>
      <c r="H172" s="34"/>
      <c r="I172" s="34"/>
      <c r="J172" s="34"/>
      <c r="L172" s="34"/>
      <c r="N172" s="34"/>
      <c r="R172" s="57"/>
      <c r="S172" s="61" t="str">
        <f t="shared" si="12"/>
        <v>C:\Users\96015\Desktop\EMR Log\</v>
      </c>
      <c r="T172" s="57" t="str">
        <f t="shared" si="13"/>
        <v>C:\Users\96015\Desktop\EMR Log\\.txt</v>
      </c>
      <c r="AB172" s="34"/>
    </row>
    <row r="173" spans="1:28" x14ac:dyDescent="0.25">
      <c r="A173" s="110"/>
      <c r="C173" s="110"/>
      <c r="D173" s="110"/>
      <c r="F173" s="140"/>
      <c r="H173" s="34"/>
      <c r="I173" s="34"/>
      <c r="J173" s="34"/>
      <c r="L173" s="34"/>
      <c r="N173" s="34"/>
      <c r="R173" s="57"/>
      <c r="S173" s="61" t="str">
        <f t="shared" si="12"/>
        <v>C:\Users\96015\Desktop\EMR Log\</v>
      </c>
      <c r="T173" s="57" t="str">
        <f t="shared" si="13"/>
        <v>C:\Users\96015\Desktop\EMR Log\\.txt</v>
      </c>
      <c r="AB173" s="34"/>
    </row>
    <row r="174" spans="1:28" x14ac:dyDescent="0.25">
      <c r="A174" s="110"/>
      <c r="C174" s="110"/>
      <c r="D174" s="110"/>
      <c r="F174" s="140"/>
      <c r="H174" s="34"/>
      <c r="I174" s="34"/>
      <c r="J174" s="34"/>
      <c r="L174" s="34"/>
      <c r="N174" s="34"/>
      <c r="R174" s="57"/>
      <c r="S174" s="61" t="str">
        <f t="shared" si="12"/>
        <v>C:\Users\96015\Desktop\EMR Log\</v>
      </c>
      <c r="T174" s="57" t="str">
        <f t="shared" si="13"/>
        <v>C:\Users\96015\Desktop\EMR Log\\.txt</v>
      </c>
      <c r="AB174" s="34"/>
    </row>
    <row r="175" spans="1:28" x14ac:dyDescent="0.25">
      <c r="A175" s="110"/>
      <c r="C175" s="110"/>
      <c r="D175" s="110"/>
      <c r="F175" s="140"/>
      <c r="H175" s="34"/>
      <c r="I175" s="34"/>
      <c r="J175" s="34"/>
      <c r="L175" s="34"/>
      <c r="N175" s="34"/>
      <c r="R175" s="57"/>
      <c r="S175" s="61" t="str">
        <f t="shared" si="12"/>
        <v>C:\Users\96015\Desktop\EMR Log\</v>
      </c>
      <c r="T175" s="57" t="str">
        <f t="shared" si="13"/>
        <v>C:\Users\96015\Desktop\EMR Log\\.txt</v>
      </c>
      <c r="AB175" s="34"/>
    </row>
    <row r="176" spans="1:28" x14ac:dyDescent="0.25">
      <c r="A176" s="110"/>
      <c r="C176" s="110"/>
      <c r="D176" s="110"/>
      <c r="F176" s="140"/>
      <c r="H176" s="34"/>
      <c r="I176" s="34"/>
      <c r="J176" s="34"/>
      <c r="L176" s="34"/>
      <c r="N176" s="34"/>
      <c r="R176" s="57"/>
      <c r="S176" s="61" t="str">
        <f t="shared" si="12"/>
        <v>C:\Users\96015\Desktop\EMR Log\</v>
      </c>
      <c r="T176" s="57" t="str">
        <f t="shared" si="13"/>
        <v>C:\Users\96015\Desktop\EMR Log\\.txt</v>
      </c>
      <c r="AB176" s="34"/>
    </row>
    <row r="177" spans="1:28" x14ac:dyDescent="0.25">
      <c r="A177" s="110"/>
      <c r="C177" s="110"/>
      <c r="D177" s="110"/>
      <c r="F177" s="140"/>
      <c r="G177" s="117"/>
      <c r="H177" s="34"/>
      <c r="I177" s="34"/>
      <c r="J177" s="34"/>
      <c r="L177" s="34"/>
      <c r="N177" s="34"/>
      <c r="R177" s="57"/>
      <c r="S177" s="61" t="str">
        <f t="shared" si="12"/>
        <v>C:\Users\96015\Desktop\EMR Log\</v>
      </c>
      <c r="T177" s="57" t="str">
        <f t="shared" si="13"/>
        <v>C:\Users\96015\Desktop\EMR Log\\.txt</v>
      </c>
      <c r="AB177" s="34"/>
    </row>
    <row r="178" spans="1:28" x14ac:dyDescent="0.25">
      <c r="A178" s="110"/>
      <c r="C178" s="110"/>
      <c r="D178" s="110"/>
      <c r="F178" s="140"/>
      <c r="G178" s="117"/>
      <c r="H178" s="34"/>
      <c r="I178" s="34"/>
      <c r="J178" s="34"/>
      <c r="L178" s="34"/>
      <c r="N178" s="34"/>
      <c r="R178" s="57"/>
      <c r="S178" s="61" t="str">
        <f t="shared" si="12"/>
        <v>C:\Users\96015\Desktop\EMR Log\</v>
      </c>
      <c r="T178" s="57" t="str">
        <f t="shared" si="13"/>
        <v>C:\Users\96015\Desktop\EMR Log\\.txt</v>
      </c>
      <c r="AB178" s="34"/>
    </row>
    <row r="179" spans="1:28" x14ac:dyDescent="0.25">
      <c r="A179" s="110"/>
      <c r="C179" s="110"/>
      <c r="D179" s="110"/>
      <c r="F179" s="140"/>
      <c r="H179" s="34"/>
      <c r="I179" s="34"/>
      <c r="J179" s="34"/>
      <c r="L179" s="34"/>
      <c r="N179" s="34"/>
      <c r="R179" s="57"/>
      <c r="S179" s="61" t="str">
        <f t="shared" si="12"/>
        <v>C:\Users\96015\Desktop\EMR Log\</v>
      </c>
      <c r="T179" s="57" t="str">
        <f t="shared" si="13"/>
        <v>C:\Users\96015\Desktop\EMR Log\\.txt</v>
      </c>
      <c r="AB179" s="34"/>
    </row>
    <row r="180" spans="1:28" x14ac:dyDescent="0.25">
      <c r="A180" s="110"/>
      <c r="C180" s="110"/>
      <c r="D180" s="110"/>
      <c r="F180" s="140"/>
      <c r="H180" s="34"/>
      <c r="I180" s="34"/>
      <c r="J180" s="34"/>
      <c r="L180" s="34"/>
      <c r="N180" s="34"/>
      <c r="R180" s="57"/>
      <c r="S180" s="61" t="str">
        <f t="shared" si="12"/>
        <v>C:\Users\96015\Desktop\EMR Log\</v>
      </c>
      <c r="T180" s="57" t="str">
        <f t="shared" si="13"/>
        <v>C:\Users\96015\Desktop\EMR Log\\.txt</v>
      </c>
      <c r="AB180" s="34"/>
    </row>
    <row r="181" spans="1:28" x14ac:dyDescent="0.25">
      <c r="A181" s="110"/>
      <c r="C181" s="110"/>
      <c r="D181" s="110"/>
      <c r="F181" s="140"/>
      <c r="H181" s="34"/>
      <c r="I181" s="34"/>
      <c r="J181" s="34"/>
      <c r="L181" s="34"/>
      <c r="N181" s="34"/>
      <c r="R181" s="57"/>
      <c r="S181" s="61" t="str">
        <f t="shared" si="12"/>
        <v>C:\Users\96015\Desktop\EMR Log\</v>
      </c>
      <c r="T181" s="57" t="str">
        <f t="shared" si="13"/>
        <v>C:\Users\96015\Desktop\EMR Log\\.txt</v>
      </c>
      <c r="AB181" s="34"/>
    </row>
    <row r="182" spans="1:28" x14ac:dyDescent="0.25">
      <c r="A182" s="110"/>
      <c r="C182" s="110"/>
      <c r="D182" s="110"/>
      <c r="F182" s="140"/>
      <c r="H182" s="34"/>
      <c r="I182" s="34"/>
      <c r="J182" s="34"/>
      <c r="L182" s="34"/>
      <c r="N182" s="34"/>
      <c r="R182" s="57"/>
      <c r="S182" s="61" t="str">
        <f t="shared" si="12"/>
        <v>C:\Users\96015\Desktop\EMR Log\</v>
      </c>
      <c r="T182" s="57" t="str">
        <f t="shared" si="13"/>
        <v>C:\Users\96015\Desktop\EMR Log\\.txt</v>
      </c>
      <c r="AB182" s="34"/>
    </row>
    <row r="183" spans="1:28" x14ac:dyDescent="0.25">
      <c r="A183" s="110"/>
      <c r="C183" s="110"/>
      <c r="D183" s="110"/>
      <c r="F183" s="140"/>
      <c r="H183" s="34"/>
      <c r="I183" s="34"/>
      <c r="J183" s="34"/>
      <c r="L183" s="34"/>
      <c r="N183" s="34"/>
      <c r="R183" s="57"/>
      <c r="S183" s="61" t="str">
        <f t="shared" si="12"/>
        <v>C:\Users\96015\Desktop\EMR Log\</v>
      </c>
      <c r="T183" s="57" t="str">
        <f t="shared" si="13"/>
        <v>C:\Users\96015\Desktop\EMR Log\\.txt</v>
      </c>
      <c r="AB183" s="34"/>
    </row>
    <row r="184" spans="1:28" x14ac:dyDescent="0.25">
      <c r="A184" s="110"/>
      <c r="C184" s="110"/>
      <c r="D184" s="110"/>
      <c r="F184" s="140"/>
      <c r="H184" s="34"/>
      <c r="I184" s="34"/>
      <c r="J184" s="34"/>
      <c r="L184" s="34"/>
      <c r="N184" s="34"/>
      <c r="R184" s="57"/>
      <c r="S184" s="61" t="str">
        <f t="shared" si="12"/>
        <v>C:\Users\96015\Desktop\EMR Log\</v>
      </c>
      <c r="T184" s="57" t="str">
        <f t="shared" si="13"/>
        <v>C:\Users\96015\Desktop\EMR Log\\.txt</v>
      </c>
      <c r="AB184" s="34"/>
    </row>
    <row r="185" spans="1:28" x14ac:dyDescent="0.25">
      <c r="A185" s="110"/>
      <c r="C185" s="110"/>
      <c r="D185" s="110"/>
      <c r="F185" s="140"/>
      <c r="H185" s="34"/>
      <c r="I185" s="34"/>
      <c r="J185" s="34"/>
      <c r="L185" s="34"/>
      <c r="N185" s="34"/>
      <c r="R185" s="57"/>
      <c r="S185" s="61" t="str">
        <f t="shared" si="12"/>
        <v>C:\Users\96015\Desktop\EMR Log\</v>
      </c>
      <c r="T185" s="57" t="str">
        <f t="shared" si="13"/>
        <v>C:\Users\96015\Desktop\EMR Log\\.txt</v>
      </c>
      <c r="AB185" s="34"/>
    </row>
    <row r="186" spans="1:28" x14ac:dyDescent="0.25">
      <c r="A186" s="110"/>
      <c r="C186" s="110"/>
      <c r="D186" s="110"/>
      <c r="F186" s="140"/>
      <c r="H186" s="34"/>
      <c r="I186" s="34"/>
      <c r="J186" s="34"/>
      <c r="L186" s="34"/>
      <c r="N186" s="34"/>
      <c r="R186" s="57"/>
      <c r="S186" s="61" t="str">
        <f t="shared" si="12"/>
        <v>C:\Users\96015\Desktop\EMR Log\</v>
      </c>
      <c r="T186" s="57" t="str">
        <f t="shared" si="13"/>
        <v>C:\Users\96015\Desktop\EMR Log\\.txt</v>
      </c>
      <c r="AB186" s="34"/>
    </row>
    <row r="187" spans="1:28" x14ac:dyDescent="0.25">
      <c r="A187" s="110"/>
      <c r="C187" s="110"/>
      <c r="D187" s="110"/>
      <c r="F187" s="140"/>
      <c r="H187" s="34"/>
      <c r="I187" s="34"/>
      <c r="J187" s="34"/>
      <c r="L187" s="34"/>
      <c r="N187" s="34"/>
      <c r="R187" s="57"/>
      <c r="S187" s="61" t="str">
        <f t="shared" si="12"/>
        <v>C:\Users\96015\Desktop\EMR Log\</v>
      </c>
      <c r="T187" s="57" t="str">
        <f t="shared" si="13"/>
        <v>C:\Users\96015\Desktop\EMR Log\\.txt</v>
      </c>
      <c r="AB187" s="34"/>
    </row>
    <row r="188" spans="1:28" x14ac:dyDescent="0.25">
      <c r="A188" s="110"/>
      <c r="C188" s="110"/>
      <c r="D188" s="110"/>
      <c r="F188" s="140"/>
      <c r="H188" s="34"/>
      <c r="I188" s="34"/>
      <c r="J188" s="34"/>
      <c r="L188" s="34"/>
      <c r="N188" s="34"/>
      <c r="R188" s="57"/>
      <c r="S188" s="61" t="str">
        <f t="shared" si="12"/>
        <v>C:\Users\96015\Desktop\EMR Log\</v>
      </c>
      <c r="T188" s="57" t="str">
        <f t="shared" si="13"/>
        <v>C:\Users\96015\Desktop\EMR Log\\.txt</v>
      </c>
      <c r="AB188" s="34"/>
    </row>
    <row r="189" spans="1:28" x14ac:dyDescent="0.25">
      <c r="A189" s="110"/>
      <c r="C189" s="110"/>
      <c r="D189" s="110"/>
      <c r="F189" s="140"/>
      <c r="H189" s="34"/>
      <c r="I189" s="34"/>
      <c r="J189" s="34"/>
      <c r="L189" s="34"/>
      <c r="N189" s="34"/>
      <c r="R189" s="57"/>
      <c r="S189" s="61" t="str">
        <f t="shared" si="12"/>
        <v>C:\Users\96015\Desktop\EMR Log\</v>
      </c>
      <c r="T189" s="57" t="str">
        <f t="shared" si="13"/>
        <v>C:\Users\96015\Desktop\EMR Log\\.txt</v>
      </c>
      <c r="AB189" s="34"/>
    </row>
    <row r="190" spans="1:28" x14ac:dyDescent="0.25">
      <c r="A190" s="110"/>
      <c r="C190" s="110"/>
      <c r="D190" s="110"/>
      <c r="F190" s="140"/>
      <c r="H190" s="34"/>
      <c r="I190" s="34"/>
      <c r="J190" s="34"/>
      <c r="L190" s="34"/>
      <c r="N190" s="34"/>
      <c r="R190" s="57"/>
      <c r="S190" s="61" t="str">
        <f t="shared" si="12"/>
        <v>C:\Users\96015\Desktop\EMR Log\</v>
      </c>
      <c r="T190" s="57" t="str">
        <f t="shared" si="13"/>
        <v>C:\Users\96015\Desktop\EMR Log\\.txt</v>
      </c>
      <c r="AB190" s="34"/>
    </row>
    <row r="191" spans="1:28" x14ac:dyDescent="0.25">
      <c r="A191" s="110"/>
      <c r="C191" s="110"/>
      <c r="D191" s="110"/>
      <c r="F191" s="140"/>
      <c r="H191" s="34"/>
      <c r="I191" s="34"/>
      <c r="J191" s="34"/>
      <c r="L191" s="34"/>
      <c r="N191" s="34"/>
      <c r="R191" s="57"/>
      <c r="S191" s="61" t="str">
        <f t="shared" si="12"/>
        <v>C:\Users\96015\Desktop\EMR Log\</v>
      </c>
      <c r="T191" s="57" t="str">
        <f t="shared" si="13"/>
        <v>C:\Users\96015\Desktop\EMR Log\\.txt</v>
      </c>
      <c r="AB191" s="34"/>
    </row>
    <row r="192" spans="1:28" x14ac:dyDescent="0.25">
      <c r="A192" s="110"/>
      <c r="C192" s="110"/>
      <c r="D192" s="110"/>
      <c r="F192" s="140"/>
      <c r="H192" s="34"/>
      <c r="I192" s="34"/>
      <c r="J192" s="34"/>
      <c r="L192" s="34"/>
      <c r="N192" s="34"/>
      <c r="R192" s="57"/>
      <c r="S192" s="61" t="str">
        <f t="shared" si="12"/>
        <v>C:\Users\96015\Desktop\EMR Log\</v>
      </c>
      <c r="T192" s="57" t="str">
        <f t="shared" si="13"/>
        <v>C:\Users\96015\Desktop\EMR Log\\.txt</v>
      </c>
      <c r="AB192" s="34"/>
    </row>
    <row r="193" spans="1:28" x14ac:dyDescent="0.25">
      <c r="A193" s="110"/>
      <c r="C193" s="110"/>
      <c r="D193" s="110"/>
      <c r="F193" s="140"/>
      <c r="H193" s="34"/>
      <c r="I193" s="34"/>
      <c r="J193" s="34"/>
      <c r="L193" s="34"/>
      <c r="N193" s="34"/>
      <c r="R193" s="57"/>
      <c r="S193" s="61" t="str">
        <f t="shared" si="12"/>
        <v>C:\Users\96015\Desktop\EMR Log\</v>
      </c>
      <c r="T193" s="57" t="str">
        <f t="shared" si="13"/>
        <v>C:\Users\96015\Desktop\EMR Log\\.txt</v>
      </c>
      <c r="AB193" s="34"/>
    </row>
    <row r="194" spans="1:28" x14ac:dyDescent="0.25">
      <c r="A194" s="110"/>
      <c r="C194" s="110"/>
      <c r="D194" s="110"/>
      <c r="F194" s="140"/>
      <c r="H194" s="34"/>
      <c r="I194" s="34"/>
      <c r="J194" s="34"/>
      <c r="L194" s="34"/>
      <c r="N194" s="34"/>
      <c r="R194" s="57"/>
      <c r="S194" s="61" t="str">
        <f t="shared" ref="S194:S257" si="14">CONCATENATE("C:\Users\96015\Desktop\EMR Log\", R194)</f>
        <v>C:\Users\96015\Desktop\EMR Log\</v>
      </c>
      <c r="T194" s="57" t="str">
        <f t="shared" ref="T194:T257" si="15">CONCATENATE("C:\Users\96015\Desktop\EMR Log\",R194,"\",R194,".txt")</f>
        <v>C:\Users\96015\Desktop\EMR Log\\.txt</v>
      </c>
      <c r="AB194" s="34"/>
    </row>
    <row r="195" spans="1:28" x14ac:dyDescent="0.25">
      <c r="A195" s="110"/>
      <c r="C195" s="110"/>
      <c r="D195" s="110"/>
      <c r="F195" s="140"/>
      <c r="H195" s="34"/>
      <c r="I195" s="34"/>
      <c r="J195" s="34"/>
      <c r="L195" s="34"/>
      <c r="N195" s="34"/>
      <c r="R195" s="57"/>
      <c r="S195" s="61" t="str">
        <f t="shared" si="14"/>
        <v>C:\Users\96015\Desktop\EMR Log\</v>
      </c>
      <c r="T195" s="57" t="str">
        <f t="shared" si="15"/>
        <v>C:\Users\96015\Desktop\EMR Log\\.txt</v>
      </c>
      <c r="AB195" s="34"/>
    </row>
    <row r="196" spans="1:28" x14ac:dyDescent="0.25">
      <c r="A196" s="110"/>
      <c r="C196" s="110"/>
      <c r="D196" s="110"/>
      <c r="F196" s="140"/>
      <c r="H196" s="34"/>
      <c r="I196" s="34"/>
      <c r="J196" s="34"/>
      <c r="L196" s="34"/>
      <c r="N196" s="34"/>
      <c r="R196" s="57"/>
      <c r="S196" s="61" t="str">
        <f t="shared" si="14"/>
        <v>C:\Users\96015\Desktop\EMR Log\</v>
      </c>
      <c r="T196" s="57" t="str">
        <f t="shared" si="15"/>
        <v>C:\Users\96015\Desktop\EMR Log\\.txt</v>
      </c>
      <c r="AB196" s="34"/>
    </row>
    <row r="197" spans="1:28" x14ac:dyDescent="0.25">
      <c r="A197" s="110"/>
      <c r="C197" s="110"/>
      <c r="D197" s="110"/>
      <c r="F197" s="140"/>
      <c r="H197" s="34"/>
      <c r="I197" s="34"/>
      <c r="J197" s="34"/>
      <c r="L197" s="34"/>
      <c r="N197" s="34"/>
      <c r="R197" s="57"/>
      <c r="S197" s="61" t="str">
        <f t="shared" si="14"/>
        <v>C:\Users\96015\Desktop\EMR Log\</v>
      </c>
      <c r="T197" s="57" t="str">
        <f t="shared" si="15"/>
        <v>C:\Users\96015\Desktop\EMR Log\\.txt</v>
      </c>
      <c r="AB197" s="34"/>
    </row>
    <row r="198" spans="1:28" x14ac:dyDescent="0.25">
      <c r="A198" s="110"/>
      <c r="C198" s="110"/>
      <c r="D198" s="110"/>
      <c r="F198" s="140"/>
      <c r="H198" s="34"/>
      <c r="I198" s="34"/>
      <c r="J198" s="34"/>
      <c r="L198" s="34"/>
      <c r="N198" s="34"/>
      <c r="R198" s="57"/>
      <c r="S198" s="61" t="str">
        <f t="shared" si="14"/>
        <v>C:\Users\96015\Desktop\EMR Log\</v>
      </c>
      <c r="T198" s="57" t="str">
        <f t="shared" si="15"/>
        <v>C:\Users\96015\Desktop\EMR Log\\.txt</v>
      </c>
      <c r="AB198" s="34"/>
    </row>
    <row r="199" spans="1:28" x14ac:dyDescent="0.25">
      <c r="A199" s="110"/>
      <c r="C199" s="110"/>
      <c r="D199" s="110"/>
      <c r="F199" s="140"/>
      <c r="H199" s="34"/>
      <c r="I199" s="34"/>
      <c r="J199" s="34"/>
      <c r="L199" s="34"/>
      <c r="N199" s="34"/>
      <c r="R199" s="57"/>
      <c r="S199" s="61" t="str">
        <f t="shared" si="14"/>
        <v>C:\Users\96015\Desktop\EMR Log\</v>
      </c>
      <c r="T199" s="57" t="str">
        <f t="shared" si="15"/>
        <v>C:\Users\96015\Desktop\EMR Log\\.txt</v>
      </c>
      <c r="AB199" s="34"/>
    </row>
    <row r="200" spans="1:28" x14ac:dyDescent="0.25">
      <c r="A200" s="110"/>
      <c r="C200" s="110"/>
      <c r="D200" s="110"/>
      <c r="F200" s="140"/>
      <c r="H200" s="34"/>
      <c r="I200" s="34"/>
      <c r="J200" s="34"/>
      <c r="L200" s="34"/>
      <c r="N200" s="34"/>
      <c r="R200" s="57"/>
      <c r="S200" s="61" t="str">
        <f t="shared" si="14"/>
        <v>C:\Users\96015\Desktop\EMR Log\</v>
      </c>
      <c r="T200" s="57" t="str">
        <f t="shared" si="15"/>
        <v>C:\Users\96015\Desktop\EMR Log\\.txt</v>
      </c>
      <c r="AB200" s="34"/>
    </row>
    <row r="201" spans="1:28" x14ac:dyDescent="0.25">
      <c r="A201" s="110"/>
      <c r="C201" s="110"/>
      <c r="D201" s="110"/>
      <c r="F201" s="140"/>
      <c r="H201" s="34"/>
      <c r="I201" s="34"/>
      <c r="J201" s="34"/>
      <c r="L201" s="34"/>
      <c r="N201" s="34"/>
      <c r="R201" s="57"/>
      <c r="S201" s="61" t="str">
        <f t="shared" si="14"/>
        <v>C:\Users\96015\Desktop\EMR Log\</v>
      </c>
      <c r="T201" s="57" t="str">
        <f t="shared" si="15"/>
        <v>C:\Users\96015\Desktop\EMR Log\\.txt</v>
      </c>
      <c r="AB201" s="34"/>
    </row>
    <row r="202" spans="1:28" x14ac:dyDescent="0.25">
      <c r="A202" s="110"/>
      <c r="C202" s="110"/>
      <c r="D202" s="110"/>
      <c r="F202" s="140"/>
      <c r="H202" s="34"/>
      <c r="I202" s="34"/>
      <c r="J202" s="34"/>
      <c r="L202" s="34"/>
      <c r="N202" s="34"/>
      <c r="R202" s="57"/>
      <c r="S202" s="61" t="str">
        <f t="shared" si="14"/>
        <v>C:\Users\96015\Desktop\EMR Log\</v>
      </c>
      <c r="T202" s="57" t="str">
        <f t="shared" si="15"/>
        <v>C:\Users\96015\Desktop\EMR Log\\.txt</v>
      </c>
      <c r="AB202" s="34"/>
    </row>
    <row r="203" spans="1:28" x14ac:dyDescent="0.25">
      <c r="A203" s="110"/>
      <c r="C203" s="110"/>
      <c r="D203" s="110"/>
      <c r="F203" s="140"/>
      <c r="H203" s="34"/>
      <c r="I203" s="34"/>
      <c r="J203" s="34"/>
      <c r="L203" s="34"/>
      <c r="N203" s="34"/>
      <c r="R203" s="57"/>
      <c r="S203" s="61" t="str">
        <f t="shared" si="14"/>
        <v>C:\Users\96015\Desktop\EMR Log\</v>
      </c>
      <c r="T203" s="57" t="str">
        <f t="shared" si="15"/>
        <v>C:\Users\96015\Desktop\EMR Log\\.txt</v>
      </c>
      <c r="AB203" s="34"/>
    </row>
    <row r="204" spans="1:28" x14ac:dyDescent="0.25">
      <c r="A204" s="110"/>
      <c r="C204" s="110"/>
      <c r="D204" s="110"/>
      <c r="F204" s="140"/>
      <c r="H204" s="34"/>
      <c r="I204" s="34"/>
      <c r="J204" s="34"/>
      <c r="L204" s="34"/>
      <c r="N204" s="34"/>
      <c r="R204" s="57"/>
      <c r="S204" s="61" t="str">
        <f t="shared" si="14"/>
        <v>C:\Users\96015\Desktop\EMR Log\</v>
      </c>
      <c r="T204" s="57" t="str">
        <f t="shared" si="15"/>
        <v>C:\Users\96015\Desktop\EMR Log\\.txt</v>
      </c>
      <c r="AB204" s="34"/>
    </row>
    <row r="205" spans="1:28" x14ac:dyDescent="0.25">
      <c r="A205" s="110"/>
      <c r="C205" s="110"/>
      <c r="D205" s="110"/>
      <c r="F205" s="140"/>
      <c r="H205" s="34"/>
      <c r="I205" s="34"/>
      <c r="J205" s="34"/>
      <c r="L205" s="34"/>
      <c r="N205" s="34"/>
      <c r="R205" s="57"/>
      <c r="S205" s="61" t="str">
        <f t="shared" si="14"/>
        <v>C:\Users\96015\Desktop\EMR Log\</v>
      </c>
      <c r="T205" s="57" t="str">
        <f t="shared" si="15"/>
        <v>C:\Users\96015\Desktop\EMR Log\\.txt</v>
      </c>
      <c r="AB205" s="34"/>
    </row>
    <row r="206" spans="1:28" x14ac:dyDescent="0.25">
      <c r="A206" s="110"/>
      <c r="C206" s="110"/>
      <c r="D206" s="110"/>
      <c r="F206" s="140"/>
      <c r="H206" s="34"/>
      <c r="I206" s="34"/>
      <c r="J206" s="34"/>
      <c r="L206" s="34"/>
      <c r="N206" s="34"/>
      <c r="R206" s="57"/>
      <c r="S206" s="61" t="str">
        <f t="shared" si="14"/>
        <v>C:\Users\96015\Desktop\EMR Log\</v>
      </c>
      <c r="T206" s="57" t="str">
        <f t="shared" si="15"/>
        <v>C:\Users\96015\Desktop\EMR Log\\.txt</v>
      </c>
      <c r="AB206" s="34"/>
    </row>
    <row r="207" spans="1:28" x14ac:dyDescent="0.25">
      <c r="A207" s="110"/>
      <c r="C207" s="110"/>
      <c r="D207" s="110"/>
      <c r="F207" s="140"/>
      <c r="H207" s="34"/>
      <c r="I207" s="34"/>
      <c r="J207" s="34"/>
      <c r="L207" s="34"/>
      <c r="N207" s="34"/>
      <c r="R207" s="57"/>
      <c r="S207" s="61" t="str">
        <f t="shared" si="14"/>
        <v>C:\Users\96015\Desktop\EMR Log\</v>
      </c>
      <c r="T207" s="57" t="str">
        <f t="shared" si="15"/>
        <v>C:\Users\96015\Desktop\EMR Log\\.txt</v>
      </c>
      <c r="AB207" s="34"/>
    </row>
    <row r="208" spans="1:28" x14ac:dyDescent="0.25">
      <c r="A208" s="110"/>
      <c r="C208" s="110"/>
      <c r="D208" s="110"/>
      <c r="F208" s="140"/>
      <c r="H208" s="34"/>
      <c r="I208" s="34"/>
      <c r="J208" s="34"/>
      <c r="L208" s="34"/>
      <c r="N208" s="34"/>
      <c r="R208" s="57"/>
      <c r="S208" s="61" t="str">
        <f t="shared" si="14"/>
        <v>C:\Users\96015\Desktop\EMR Log\</v>
      </c>
      <c r="T208" s="57" t="str">
        <f t="shared" si="15"/>
        <v>C:\Users\96015\Desktop\EMR Log\\.txt</v>
      </c>
      <c r="AB208" s="34"/>
    </row>
    <row r="209" spans="1:28" x14ac:dyDescent="0.25">
      <c r="A209" s="110"/>
      <c r="C209" s="110"/>
      <c r="D209" s="110"/>
      <c r="F209" s="140"/>
      <c r="H209" s="34"/>
      <c r="I209" s="34"/>
      <c r="J209" s="34"/>
      <c r="L209" s="34"/>
      <c r="N209" s="34"/>
      <c r="R209" s="57"/>
      <c r="S209" s="61" t="str">
        <f t="shared" si="14"/>
        <v>C:\Users\96015\Desktop\EMR Log\</v>
      </c>
      <c r="T209" s="57" t="str">
        <f t="shared" si="15"/>
        <v>C:\Users\96015\Desktop\EMR Log\\.txt</v>
      </c>
      <c r="AB209" s="34"/>
    </row>
    <row r="210" spans="1:28" x14ac:dyDescent="0.25">
      <c r="A210" s="110"/>
      <c r="C210" s="110"/>
      <c r="D210" s="110"/>
      <c r="F210" s="140"/>
      <c r="H210" s="34"/>
      <c r="I210" s="34"/>
      <c r="J210" s="34"/>
      <c r="L210" s="34"/>
      <c r="N210" s="34"/>
      <c r="R210" s="57"/>
      <c r="S210" s="61" t="str">
        <f t="shared" si="14"/>
        <v>C:\Users\96015\Desktop\EMR Log\</v>
      </c>
      <c r="T210" s="57" t="str">
        <f t="shared" si="15"/>
        <v>C:\Users\96015\Desktop\EMR Log\\.txt</v>
      </c>
      <c r="AB210" s="34"/>
    </row>
    <row r="211" spans="1:28" x14ac:dyDescent="0.25">
      <c r="A211" s="110"/>
      <c r="C211" s="110"/>
      <c r="D211" s="110"/>
      <c r="F211" s="140"/>
      <c r="H211" s="34"/>
      <c r="I211" s="34"/>
      <c r="J211" s="34"/>
      <c r="L211" s="34"/>
      <c r="N211" s="34"/>
      <c r="R211" s="57"/>
      <c r="S211" s="61" t="str">
        <f t="shared" si="14"/>
        <v>C:\Users\96015\Desktop\EMR Log\</v>
      </c>
      <c r="T211" s="57" t="str">
        <f t="shared" si="15"/>
        <v>C:\Users\96015\Desktop\EMR Log\\.txt</v>
      </c>
      <c r="AB211" s="34"/>
    </row>
    <row r="212" spans="1:28" x14ac:dyDescent="0.25">
      <c r="A212" s="110"/>
      <c r="C212" s="110"/>
      <c r="D212" s="110"/>
      <c r="F212" s="140"/>
      <c r="H212" s="34"/>
      <c r="I212" s="34"/>
      <c r="J212" s="34"/>
      <c r="L212" s="34"/>
      <c r="N212" s="34"/>
      <c r="R212" s="57"/>
      <c r="S212" s="61" t="str">
        <f t="shared" si="14"/>
        <v>C:\Users\96015\Desktop\EMR Log\</v>
      </c>
      <c r="T212" s="57" t="str">
        <f t="shared" si="15"/>
        <v>C:\Users\96015\Desktop\EMR Log\\.txt</v>
      </c>
      <c r="AB212" s="34"/>
    </row>
    <row r="213" spans="1:28" x14ac:dyDescent="0.25">
      <c r="A213" s="110"/>
      <c r="C213" s="110"/>
      <c r="D213" s="110"/>
      <c r="F213" s="140"/>
      <c r="H213" s="34"/>
      <c r="I213" s="34"/>
      <c r="J213" s="34"/>
      <c r="L213" s="34"/>
      <c r="N213" s="34"/>
      <c r="R213" s="57"/>
      <c r="S213" s="61" t="str">
        <f t="shared" si="14"/>
        <v>C:\Users\96015\Desktop\EMR Log\</v>
      </c>
      <c r="T213" s="57" t="str">
        <f t="shared" si="15"/>
        <v>C:\Users\96015\Desktop\EMR Log\\.txt</v>
      </c>
      <c r="AB213" s="34"/>
    </row>
    <row r="214" spans="1:28" x14ac:dyDescent="0.25">
      <c r="A214" s="110"/>
      <c r="C214" s="110"/>
      <c r="D214" s="110"/>
      <c r="F214" s="140"/>
      <c r="H214" s="34"/>
      <c r="I214" s="34"/>
      <c r="J214" s="34"/>
      <c r="L214" s="34"/>
      <c r="N214" s="34"/>
      <c r="R214" s="57"/>
      <c r="S214" s="61" t="str">
        <f t="shared" si="14"/>
        <v>C:\Users\96015\Desktop\EMR Log\</v>
      </c>
      <c r="T214" s="57" t="str">
        <f t="shared" si="15"/>
        <v>C:\Users\96015\Desktop\EMR Log\\.txt</v>
      </c>
      <c r="AB214" s="34"/>
    </row>
    <row r="215" spans="1:28" x14ac:dyDescent="0.25">
      <c r="A215" s="110"/>
      <c r="C215" s="110"/>
      <c r="D215" s="110"/>
      <c r="F215" s="140"/>
      <c r="H215" s="34"/>
      <c r="I215" s="34"/>
      <c r="J215" s="34"/>
      <c r="L215" s="34"/>
      <c r="N215" s="34"/>
      <c r="R215" s="57"/>
      <c r="S215" s="61" t="str">
        <f t="shared" si="14"/>
        <v>C:\Users\96015\Desktop\EMR Log\</v>
      </c>
      <c r="T215" s="57" t="str">
        <f t="shared" si="15"/>
        <v>C:\Users\96015\Desktop\EMR Log\\.txt</v>
      </c>
      <c r="AB215" s="34"/>
    </row>
    <row r="216" spans="1:28" x14ac:dyDescent="0.25">
      <c r="A216" s="110"/>
      <c r="C216" s="110"/>
      <c r="D216" s="110"/>
      <c r="F216" s="140"/>
      <c r="H216" s="34"/>
      <c r="I216" s="34"/>
      <c r="J216" s="34"/>
      <c r="L216" s="34"/>
      <c r="N216" s="34"/>
      <c r="R216" s="57"/>
      <c r="S216" s="61" t="str">
        <f t="shared" si="14"/>
        <v>C:\Users\96015\Desktop\EMR Log\</v>
      </c>
      <c r="T216" s="57" t="str">
        <f t="shared" si="15"/>
        <v>C:\Users\96015\Desktop\EMR Log\\.txt</v>
      </c>
      <c r="AB216" s="34"/>
    </row>
    <row r="217" spans="1:28" x14ac:dyDescent="0.25">
      <c r="A217" s="110"/>
      <c r="C217" s="110"/>
      <c r="D217" s="110"/>
      <c r="F217" s="140"/>
      <c r="H217" s="34"/>
      <c r="I217" s="34"/>
      <c r="J217" s="34"/>
      <c r="L217" s="34"/>
      <c r="N217" s="34"/>
      <c r="R217" s="57"/>
      <c r="S217" s="61" t="str">
        <f t="shared" si="14"/>
        <v>C:\Users\96015\Desktop\EMR Log\</v>
      </c>
      <c r="T217" s="57" t="str">
        <f t="shared" si="15"/>
        <v>C:\Users\96015\Desktop\EMR Log\\.txt</v>
      </c>
      <c r="AB217" s="34"/>
    </row>
    <row r="218" spans="1:28" x14ac:dyDescent="0.25">
      <c r="A218" s="110"/>
      <c r="C218" s="110"/>
      <c r="D218" s="110"/>
      <c r="F218" s="140"/>
      <c r="H218" s="34"/>
      <c r="I218" s="34"/>
      <c r="J218" s="34"/>
      <c r="L218" s="34"/>
      <c r="N218" s="34"/>
      <c r="R218" s="57"/>
      <c r="S218" s="61" t="str">
        <f t="shared" si="14"/>
        <v>C:\Users\96015\Desktop\EMR Log\</v>
      </c>
      <c r="T218" s="57" t="str">
        <f t="shared" si="15"/>
        <v>C:\Users\96015\Desktop\EMR Log\\.txt</v>
      </c>
      <c r="AB218" s="34"/>
    </row>
    <row r="219" spans="1:28" x14ac:dyDescent="0.25">
      <c r="A219" s="110"/>
      <c r="C219" s="110"/>
      <c r="D219" s="110"/>
      <c r="F219" s="140"/>
      <c r="H219" s="34"/>
      <c r="I219" s="34"/>
      <c r="J219" s="34"/>
      <c r="L219" s="34"/>
      <c r="N219" s="34"/>
      <c r="R219" s="57"/>
      <c r="S219" s="61" t="str">
        <f t="shared" si="14"/>
        <v>C:\Users\96015\Desktop\EMR Log\</v>
      </c>
      <c r="T219" s="57" t="str">
        <f t="shared" si="15"/>
        <v>C:\Users\96015\Desktop\EMR Log\\.txt</v>
      </c>
      <c r="AB219" s="34"/>
    </row>
    <row r="220" spans="1:28" x14ac:dyDescent="0.25">
      <c r="A220" s="110"/>
      <c r="C220" s="110"/>
      <c r="D220" s="110"/>
      <c r="F220" s="140"/>
      <c r="H220" s="34"/>
      <c r="I220" s="34"/>
      <c r="J220" s="34"/>
      <c r="L220" s="34"/>
      <c r="N220" s="34"/>
      <c r="R220" s="57"/>
      <c r="S220" s="61" t="str">
        <f t="shared" si="14"/>
        <v>C:\Users\96015\Desktop\EMR Log\</v>
      </c>
      <c r="T220" s="57" t="str">
        <f t="shared" si="15"/>
        <v>C:\Users\96015\Desktop\EMR Log\\.txt</v>
      </c>
      <c r="AB220" s="34"/>
    </row>
    <row r="221" spans="1:28" x14ac:dyDescent="0.25">
      <c r="A221" s="110"/>
      <c r="C221" s="110"/>
      <c r="D221" s="110"/>
      <c r="F221" s="140"/>
      <c r="H221" s="34"/>
      <c r="I221" s="34"/>
      <c r="J221" s="34"/>
      <c r="L221" s="34"/>
      <c r="N221" s="34"/>
      <c r="R221" s="57"/>
      <c r="S221" s="61" t="str">
        <f t="shared" si="14"/>
        <v>C:\Users\96015\Desktop\EMR Log\</v>
      </c>
      <c r="T221" s="57" t="str">
        <f t="shared" si="15"/>
        <v>C:\Users\96015\Desktop\EMR Log\\.txt</v>
      </c>
      <c r="AB221" s="34"/>
    </row>
    <row r="222" spans="1:28" x14ac:dyDescent="0.25">
      <c r="A222" s="110"/>
      <c r="C222" s="110"/>
      <c r="D222" s="110"/>
      <c r="F222" s="140"/>
      <c r="H222" s="34"/>
      <c r="I222" s="34"/>
      <c r="J222" s="34"/>
      <c r="L222" s="34"/>
      <c r="N222" s="34"/>
      <c r="R222" s="57"/>
      <c r="S222" s="61" t="str">
        <f t="shared" si="14"/>
        <v>C:\Users\96015\Desktop\EMR Log\</v>
      </c>
      <c r="T222" s="57" t="str">
        <f t="shared" si="15"/>
        <v>C:\Users\96015\Desktop\EMR Log\\.txt</v>
      </c>
      <c r="AB222" s="34"/>
    </row>
    <row r="223" spans="1:28" x14ac:dyDescent="0.25">
      <c r="A223" s="110"/>
      <c r="C223" s="110"/>
      <c r="D223" s="110"/>
      <c r="F223" s="140"/>
      <c r="H223" s="34"/>
      <c r="I223" s="34"/>
      <c r="J223" s="34"/>
      <c r="L223" s="34"/>
      <c r="N223" s="34"/>
      <c r="R223" s="57"/>
      <c r="S223" s="61" t="str">
        <f t="shared" si="14"/>
        <v>C:\Users\96015\Desktop\EMR Log\</v>
      </c>
      <c r="T223" s="57" t="str">
        <f t="shared" si="15"/>
        <v>C:\Users\96015\Desktop\EMR Log\\.txt</v>
      </c>
      <c r="AB223" s="34"/>
    </row>
    <row r="224" spans="1:28" x14ac:dyDescent="0.25">
      <c r="A224" s="110"/>
      <c r="C224" s="110"/>
      <c r="D224" s="110"/>
      <c r="F224" s="140"/>
      <c r="H224" s="34"/>
      <c r="I224" s="34"/>
      <c r="J224" s="34"/>
      <c r="L224" s="34"/>
      <c r="N224" s="34"/>
      <c r="R224" s="57"/>
      <c r="S224" s="61" t="str">
        <f t="shared" si="14"/>
        <v>C:\Users\96015\Desktop\EMR Log\</v>
      </c>
      <c r="T224" s="57" t="str">
        <f t="shared" si="15"/>
        <v>C:\Users\96015\Desktop\EMR Log\\.txt</v>
      </c>
      <c r="AB224" s="34"/>
    </row>
    <row r="225" spans="1:28" x14ac:dyDescent="0.25">
      <c r="A225" s="110"/>
      <c r="C225" s="110"/>
      <c r="D225" s="110"/>
      <c r="F225" s="140"/>
      <c r="H225" s="34"/>
      <c r="I225" s="34"/>
      <c r="J225" s="34"/>
      <c r="L225" s="34"/>
      <c r="N225" s="34"/>
      <c r="R225" s="57"/>
      <c r="S225" s="61" t="str">
        <f t="shared" si="14"/>
        <v>C:\Users\96015\Desktop\EMR Log\</v>
      </c>
      <c r="T225" s="57" t="str">
        <f t="shared" si="15"/>
        <v>C:\Users\96015\Desktop\EMR Log\\.txt</v>
      </c>
      <c r="AB225" s="34"/>
    </row>
    <row r="226" spans="1:28" x14ac:dyDescent="0.25">
      <c r="A226" s="110"/>
      <c r="C226" s="110"/>
      <c r="D226" s="110"/>
      <c r="F226" s="140"/>
      <c r="H226" s="34"/>
      <c r="I226" s="34"/>
      <c r="J226" s="34"/>
      <c r="L226" s="34"/>
      <c r="N226" s="34"/>
      <c r="R226" s="57"/>
      <c r="S226" s="61" t="str">
        <f t="shared" si="14"/>
        <v>C:\Users\96015\Desktop\EMR Log\</v>
      </c>
      <c r="T226" s="57" t="str">
        <f t="shared" si="15"/>
        <v>C:\Users\96015\Desktop\EMR Log\\.txt</v>
      </c>
      <c r="AB226" s="34"/>
    </row>
    <row r="227" spans="1:28" x14ac:dyDescent="0.25">
      <c r="A227" s="110"/>
      <c r="C227" s="110"/>
      <c r="D227" s="110"/>
      <c r="F227" s="140"/>
      <c r="H227" s="34"/>
      <c r="I227" s="34"/>
      <c r="J227" s="34"/>
      <c r="L227" s="34"/>
      <c r="N227" s="34"/>
      <c r="R227" s="57"/>
      <c r="S227" s="61" t="str">
        <f t="shared" si="14"/>
        <v>C:\Users\96015\Desktop\EMR Log\</v>
      </c>
      <c r="T227" s="57" t="str">
        <f t="shared" si="15"/>
        <v>C:\Users\96015\Desktop\EMR Log\\.txt</v>
      </c>
      <c r="AB227" s="34"/>
    </row>
    <row r="228" spans="1:28" x14ac:dyDescent="0.25">
      <c r="A228" s="110"/>
      <c r="C228" s="110"/>
      <c r="D228" s="110"/>
      <c r="F228" s="140"/>
      <c r="H228" s="34"/>
      <c r="I228" s="34"/>
      <c r="J228" s="34"/>
      <c r="L228" s="34"/>
      <c r="N228" s="34"/>
      <c r="R228" s="57"/>
      <c r="S228" s="61" t="str">
        <f t="shared" si="14"/>
        <v>C:\Users\96015\Desktop\EMR Log\</v>
      </c>
      <c r="T228" s="57" t="str">
        <f t="shared" si="15"/>
        <v>C:\Users\96015\Desktop\EMR Log\\.txt</v>
      </c>
      <c r="AB228" s="34"/>
    </row>
    <row r="229" spans="1:28" x14ac:dyDescent="0.25">
      <c r="A229" s="110"/>
      <c r="C229" s="110"/>
      <c r="D229" s="110"/>
      <c r="F229" s="140"/>
      <c r="H229" s="34"/>
      <c r="I229" s="34"/>
      <c r="J229" s="34"/>
      <c r="L229" s="34"/>
      <c r="N229" s="34"/>
      <c r="R229" s="57"/>
      <c r="S229" s="61" t="str">
        <f t="shared" si="14"/>
        <v>C:\Users\96015\Desktop\EMR Log\</v>
      </c>
      <c r="T229" s="57" t="str">
        <f t="shared" si="15"/>
        <v>C:\Users\96015\Desktop\EMR Log\\.txt</v>
      </c>
      <c r="AB229" s="34"/>
    </row>
    <row r="230" spans="1:28" x14ac:dyDescent="0.25">
      <c r="A230" s="110"/>
      <c r="C230" s="110"/>
      <c r="D230" s="110"/>
      <c r="F230" s="140"/>
      <c r="H230" s="34"/>
      <c r="I230" s="34"/>
      <c r="J230" s="34"/>
      <c r="L230" s="34"/>
      <c r="N230" s="34"/>
      <c r="R230" s="57"/>
      <c r="S230" s="61" t="str">
        <f t="shared" si="14"/>
        <v>C:\Users\96015\Desktop\EMR Log\</v>
      </c>
      <c r="T230" s="57" t="str">
        <f t="shared" si="15"/>
        <v>C:\Users\96015\Desktop\EMR Log\\.txt</v>
      </c>
      <c r="AB230" s="34"/>
    </row>
    <row r="231" spans="1:28" x14ac:dyDescent="0.25">
      <c r="A231" s="110"/>
      <c r="C231" s="110"/>
      <c r="D231" s="110"/>
      <c r="F231" s="140"/>
      <c r="H231" s="34"/>
      <c r="I231" s="34"/>
      <c r="J231" s="34"/>
      <c r="L231" s="34"/>
      <c r="N231" s="34"/>
      <c r="R231" s="57"/>
      <c r="S231" s="61" t="str">
        <f t="shared" si="14"/>
        <v>C:\Users\96015\Desktop\EMR Log\</v>
      </c>
      <c r="T231" s="57" t="str">
        <f t="shared" si="15"/>
        <v>C:\Users\96015\Desktop\EMR Log\\.txt</v>
      </c>
      <c r="AB231" s="34"/>
    </row>
    <row r="232" spans="1:28" x14ac:dyDescent="0.25">
      <c r="A232" s="110"/>
      <c r="C232" s="110"/>
      <c r="D232" s="110"/>
      <c r="F232" s="140"/>
      <c r="H232" s="34"/>
      <c r="I232" s="34"/>
      <c r="J232" s="34"/>
      <c r="L232" s="34"/>
      <c r="N232" s="34"/>
      <c r="R232" s="57"/>
      <c r="S232" s="61" t="str">
        <f t="shared" si="14"/>
        <v>C:\Users\96015\Desktop\EMR Log\</v>
      </c>
      <c r="T232" s="57" t="str">
        <f t="shared" si="15"/>
        <v>C:\Users\96015\Desktop\EMR Log\\.txt</v>
      </c>
      <c r="AB232" s="34"/>
    </row>
    <row r="233" spans="1:28" x14ac:dyDescent="0.25">
      <c r="A233" s="110"/>
      <c r="C233" s="110"/>
      <c r="D233" s="110"/>
      <c r="F233" s="140"/>
      <c r="H233" s="34"/>
      <c r="I233" s="34"/>
      <c r="J233" s="34"/>
      <c r="L233" s="34"/>
      <c r="N233" s="34"/>
      <c r="R233" s="57"/>
      <c r="S233" s="61" t="str">
        <f t="shared" si="14"/>
        <v>C:\Users\96015\Desktop\EMR Log\</v>
      </c>
      <c r="T233" s="57" t="str">
        <f t="shared" si="15"/>
        <v>C:\Users\96015\Desktop\EMR Log\\.txt</v>
      </c>
      <c r="AB233" s="34"/>
    </row>
    <row r="234" spans="1:28" x14ac:dyDescent="0.25">
      <c r="A234" s="110"/>
      <c r="C234" s="110"/>
      <c r="D234" s="110"/>
      <c r="F234" s="140"/>
      <c r="H234" s="34"/>
      <c r="I234" s="34"/>
      <c r="J234" s="34"/>
      <c r="L234" s="34"/>
      <c r="N234" s="34"/>
      <c r="R234" s="57"/>
      <c r="S234" s="61" t="str">
        <f t="shared" si="14"/>
        <v>C:\Users\96015\Desktop\EMR Log\</v>
      </c>
      <c r="T234" s="57" t="str">
        <f t="shared" si="15"/>
        <v>C:\Users\96015\Desktop\EMR Log\\.txt</v>
      </c>
      <c r="AB234" s="34"/>
    </row>
    <row r="235" spans="1:28" x14ac:dyDescent="0.25">
      <c r="A235" s="110"/>
      <c r="C235" s="110"/>
      <c r="D235" s="110"/>
      <c r="F235" s="140"/>
      <c r="H235" s="34"/>
      <c r="I235" s="34"/>
      <c r="J235" s="34"/>
      <c r="L235" s="34"/>
      <c r="N235" s="34"/>
      <c r="R235" s="57"/>
      <c r="S235" s="61" t="str">
        <f t="shared" si="14"/>
        <v>C:\Users\96015\Desktop\EMR Log\</v>
      </c>
      <c r="T235" s="57" t="str">
        <f t="shared" si="15"/>
        <v>C:\Users\96015\Desktop\EMR Log\\.txt</v>
      </c>
      <c r="AB235" s="34"/>
    </row>
    <row r="236" spans="1:28" x14ac:dyDescent="0.25">
      <c r="A236" s="110"/>
      <c r="C236" s="110"/>
      <c r="D236" s="110"/>
      <c r="F236" s="140"/>
      <c r="H236" s="34"/>
      <c r="I236" s="34"/>
      <c r="J236" s="34"/>
      <c r="L236" s="34"/>
      <c r="N236" s="34"/>
      <c r="R236" s="57"/>
      <c r="S236" s="61" t="str">
        <f t="shared" si="14"/>
        <v>C:\Users\96015\Desktop\EMR Log\</v>
      </c>
      <c r="T236" s="57" t="str">
        <f t="shared" si="15"/>
        <v>C:\Users\96015\Desktop\EMR Log\\.txt</v>
      </c>
      <c r="AB236" s="34"/>
    </row>
    <row r="237" spans="1:28" x14ac:dyDescent="0.25">
      <c r="A237" s="110"/>
      <c r="C237" s="110"/>
      <c r="D237" s="110"/>
      <c r="F237" s="140"/>
      <c r="H237" s="34"/>
      <c r="I237" s="34"/>
      <c r="J237" s="34"/>
      <c r="L237" s="34"/>
      <c r="N237" s="34"/>
      <c r="R237" s="57"/>
      <c r="S237" s="61" t="str">
        <f t="shared" si="14"/>
        <v>C:\Users\96015\Desktop\EMR Log\</v>
      </c>
      <c r="T237" s="57" t="str">
        <f t="shared" si="15"/>
        <v>C:\Users\96015\Desktop\EMR Log\\.txt</v>
      </c>
      <c r="AB237" s="34"/>
    </row>
    <row r="238" spans="1:28" x14ac:dyDescent="0.25">
      <c r="A238" s="110"/>
      <c r="C238" s="110"/>
      <c r="D238" s="110"/>
      <c r="F238" s="140"/>
      <c r="H238" s="34"/>
      <c r="I238" s="34"/>
      <c r="J238" s="34"/>
      <c r="L238" s="34"/>
      <c r="N238" s="34"/>
      <c r="R238" s="57"/>
      <c r="S238" s="61" t="str">
        <f t="shared" si="14"/>
        <v>C:\Users\96015\Desktop\EMR Log\</v>
      </c>
      <c r="T238" s="57" t="str">
        <f t="shared" si="15"/>
        <v>C:\Users\96015\Desktop\EMR Log\\.txt</v>
      </c>
      <c r="AB238" s="34"/>
    </row>
    <row r="239" spans="1:28" x14ac:dyDescent="0.25">
      <c r="A239" s="110"/>
      <c r="C239" s="110"/>
      <c r="D239" s="110"/>
      <c r="F239" s="140"/>
      <c r="H239" s="34"/>
      <c r="I239" s="34"/>
      <c r="J239" s="34"/>
      <c r="L239" s="34"/>
      <c r="N239" s="34"/>
      <c r="R239" s="57"/>
      <c r="S239" s="61" t="str">
        <f t="shared" si="14"/>
        <v>C:\Users\96015\Desktop\EMR Log\</v>
      </c>
      <c r="T239" s="57" t="str">
        <f t="shared" si="15"/>
        <v>C:\Users\96015\Desktop\EMR Log\\.txt</v>
      </c>
      <c r="AB239" s="34"/>
    </row>
    <row r="240" spans="1:28" x14ac:dyDescent="0.25">
      <c r="A240" s="110"/>
      <c r="C240" s="110"/>
      <c r="D240" s="110"/>
      <c r="F240" s="140"/>
      <c r="H240" s="34"/>
      <c r="I240" s="34"/>
      <c r="J240" s="34"/>
      <c r="L240" s="34"/>
      <c r="N240" s="34"/>
      <c r="R240" s="57"/>
      <c r="S240" s="61" t="str">
        <f t="shared" si="14"/>
        <v>C:\Users\96015\Desktop\EMR Log\</v>
      </c>
      <c r="T240" s="57" t="str">
        <f t="shared" si="15"/>
        <v>C:\Users\96015\Desktop\EMR Log\\.txt</v>
      </c>
      <c r="AB240" s="34"/>
    </row>
    <row r="241" spans="1:28" x14ac:dyDescent="0.25">
      <c r="A241" s="110"/>
      <c r="C241" s="110"/>
      <c r="D241" s="110"/>
      <c r="F241" s="140"/>
      <c r="H241" s="34"/>
      <c r="I241" s="34"/>
      <c r="J241" s="34"/>
      <c r="L241" s="34"/>
      <c r="N241" s="34"/>
      <c r="R241" s="57"/>
      <c r="S241" s="61" t="str">
        <f t="shared" si="14"/>
        <v>C:\Users\96015\Desktop\EMR Log\</v>
      </c>
      <c r="T241" s="57" t="str">
        <f t="shared" si="15"/>
        <v>C:\Users\96015\Desktop\EMR Log\\.txt</v>
      </c>
      <c r="AB241" s="34"/>
    </row>
    <row r="242" spans="1:28" x14ac:dyDescent="0.25">
      <c r="A242" s="110"/>
      <c r="C242" s="110"/>
      <c r="D242" s="110"/>
      <c r="F242" s="140"/>
      <c r="H242" s="34"/>
      <c r="I242" s="34"/>
      <c r="J242" s="34"/>
      <c r="L242" s="34"/>
      <c r="N242" s="34"/>
      <c r="R242" s="57"/>
      <c r="S242" s="61" t="str">
        <f t="shared" si="14"/>
        <v>C:\Users\96015\Desktop\EMR Log\</v>
      </c>
      <c r="T242" s="57" t="str">
        <f t="shared" si="15"/>
        <v>C:\Users\96015\Desktop\EMR Log\\.txt</v>
      </c>
      <c r="AB242" s="34"/>
    </row>
    <row r="243" spans="1:28" x14ac:dyDescent="0.25">
      <c r="A243" s="110"/>
      <c r="C243" s="110"/>
      <c r="D243" s="110"/>
      <c r="F243" s="140"/>
      <c r="H243" s="34"/>
      <c r="I243" s="34"/>
      <c r="J243" s="34"/>
      <c r="L243" s="34"/>
      <c r="N243" s="34"/>
      <c r="R243" s="57"/>
      <c r="S243" s="61" t="str">
        <f t="shared" si="14"/>
        <v>C:\Users\96015\Desktop\EMR Log\</v>
      </c>
      <c r="T243" s="57" t="str">
        <f t="shared" si="15"/>
        <v>C:\Users\96015\Desktop\EMR Log\\.txt</v>
      </c>
      <c r="AB243" s="34"/>
    </row>
    <row r="244" spans="1:28" x14ac:dyDescent="0.25">
      <c r="A244" s="110"/>
      <c r="C244" s="110"/>
      <c r="D244" s="110"/>
      <c r="F244" s="140"/>
      <c r="H244" s="34"/>
      <c r="I244" s="34"/>
      <c r="J244" s="34"/>
      <c r="L244" s="34"/>
      <c r="N244" s="34"/>
      <c r="R244" s="57"/>
      <c r="S244" s="61" t="str">
        <f t="shared" si="14"/>
        <v>C:\Users\96015\Desktop\EMR Log\</v>
      </c>
      <c r="T244" s="57" t="str">
        <f t="shared" si="15"/>
        <v>C:\Users\96015\Desktop\EMR Log\\.txt</v>
      </c>
      <c r="AB244" s="34"/>
    </row>
    <row r="245" spans="1:28" x14ac:dyDescent="0.25">
      <c r="A245" s="110"/>
      <c r="C245" s="110"/>
      <c r="D245" s="110"/>
      <c r="F245" s="140"/>
      <c r="H245" s="34"/>
      <c r="I245" s="34"/>
      <c r="J245" s="34"/>
      <c r="L245" s="34"/>
      <c r="N245" s="34"/>
      <c r="R245" s="57"/>
      <c r="S245" s="61" t="str">
        <f t="shared" si="14"/>
        <v>C:\Users\96015\Desktop\EMR Log\</v>
      </c>
      <c r="T245" s="57" t="str">
        <f t="shared" si="15"/>
        <v>C:\Users\96015\Desktop\EMR Log\\.txt</v>
      </c>
      <c r="AB245" s="34"/>
    </row>
    <row r="246" spans="1:28" x14ac:dyDescent="0.25">
      <c r="A246" s="110"/>
      <c r="C246" s="110"/>
      <c r="D246" s="110"/>
      <c r="F246" s="140"/>
      <c r="H246" s="34"/>
      <c r="I246" s="34"/>
      <c r="J246" s="34"/>
      <c r="L246" s="34"/>
      <c r="N246" s="34"/>
      <c r="R246" s="57"/>
      <c r="S246" s="61" t="str">
        <f t="shared" si="14"/>
        <v>C:\Users\96015\Desktop\EMR Log\</v>
      </c>
      <c r="T246" s="57" t="str">
        <f t="shared" si="15"/>
        <v>C:\Users\96015\Desktop\EMR Log\\.txt</v>
      </c>
      <c r="AB246" s="34"/>
    </row>
    <row r="247" spans="1:28" x14ac:dyDescent="0.25">
      <c r="A247" s="110"/>
      <c r="C247" s="110"/>
      <c r="D247" s="110"/>
      <c r="F247" s="140"/>
      <c r="H247" s="34"/>
      <c r="I247" s="34"/>
      <c r="J247" s="34"/>
      <c r="L247" s="34"/>
      <c r="N247" s="34"/>
      <c r="R247" s="57"/>
      <c r="S247" s="61" t="str">
        <f t="shared" si="14"/>
        <v>C:\Users\96015\Desktop\EMR Log\</v>
      </c>
      <c r="T247" s="57" t="str">
        <f t="shared" si="15"/>
        <v>C:\Users\96015\Desktop\EMR Log\\.txt</v>
      </c>
      <c r="AB247" s="34"/>
    </row>
    <row r="248" spans="1:28" x14ac:dyDescent="0.25">
      <c r="A248" s="110"/>
      <c r="C248" s="110"/>
      <c r="D248" s="110"/>
      <c r="F248" s="140"/>
      <c r="H248" s="34"/>
      <c r="I248" s="34"/>
      <c r="J248" s="34"/>
      <c r="L248" s="34"/>
      <c r="N248" s="34"/>
      <c r="R248" s="57"/>
      <c r="S248" s="61" t="str">
        <f t="shared" si="14"/>
        <v>C:\Users\96015\Desktop\EMR Log\</v>
      </c>
      <c r="T248" s="57" t="str">
        <f t="shared" si="15"/>
        <v>C:\Users\96015\Desktop\EMR Log\\.txt</v>
      </c>
      <c r="AB248" s="34"/>
    </row>
    <row r="249" spans="1:28" x14ac:dyDescent="0.25">
      <c r="A249" s="110"/>
      <c r="C249" s="110"/>
      <c r="D249" s="110"/>
      <c r="F249" s="140"/>
      <c r="H249" s="34"/>
      <c r="I249" s="34"/>
      <c r="J249" s="34"/>
      <c r="L249" s="34"/>
      <c r="N249" s="34"/>
      <c r="R249" s="57"/>
      <c r="S249" s="61" t="str">
        <f t="shared" si="14"/>
        <v>C:\Users\96015\Desktop\EMR Log\</v>
      </c>
      <c r="T249" s="57" t="str">
        <f t="shared" si="15"/>
        <v>C:\Users\96015\Desktop\EMR Log\\.txt</v>
      </c>
      <c r="AB249" s="34"/>
    </row>
    <row r="250" spans="1:28" x14ac:dyDescent="0.25">
      <c r="A250" s="110"/>
      <c r="C250" s="110"/>
      <c r="D250" s="110"/>
      <c r="F250" s="140"/>
      <c r="H250" s="34"/>
      <c r="I250" s="34"/>
      <c r="J250" s="34"/>
      <c r="L250" s="34"/>
      <c r="N250" s="34"/>
      <c r="R250" s="57"/>
      <c r="S250" s="61" t="str">
        <f t="shared" si="14"/>
        <v>C:\Users\96015\Desktop\EMR Log\</v>
      </c>
      <c r="T250" s="57" t="str">
        <f t="shared" si="15"/>
        <v>C:\Users\96015\Desktop\EMR Log\\.txt</v>
      </c>
      <c r="AB250" s="34"/>
    </row>
    <row r="251" spans="1:28" x14ac:dyDescent="0.25">
      <c r="A251" s="110"/>
      <c r="C251" s="110"/>
      <c r="D251" s="110"/>
      <c r="F251" s="140"/>
      <c r="H251" s="34"/>
      <c r="I251" s="34"/>
      <c r="J251" s="34"/>
      <c r="L251" s="34"/>
      <c r="N251" s="34"/>
      <c r="R251" s="57"/>
      <c r="S251" s="61" t="str">
        <f t="shared" si="14"/>
        <v>C:\Users\96015\Desktop\EMR Log\</v>
      </c>
      <c r="T251" s="57" t="str">
        <f t="shared" si="15"/>
        <v>C:\Users\96015\Desktop\EMR Log\\.txt</v>
      </c>
      <c r="AB251" s="34"/>
    </row>
    <row r="252" spans="1:28" x14ac:dyDescent="0.25">
      <c r="A252" s="110"/>
      <c r="C252" s="110"/>
      <c r="D252" s="110"/>
      <c r="F252" s="140"/>
      <c r="H252" s="34"/>
      <c r="I252" s="34"/>
      <c r="J252" s="34"/>
      <c r="L252" s="34"/>
      <c r="N252" s="34"/>
      <c r="R252" s="57"/>
      <c r="S252" s="61" t="str">
        <f t="shared" si="14"/>
        <v>C:\Users\96015\Desktop\EMR Log\</v>
      </c>
      <c r="T252" s="57" t="str">
        <f t="shared" si="15"/>
        <v>C:\Users\96015\Desktop\EMR Log\\.txt</v>
      </c>
      <c r="AB252" s="34"/>
    </row>
    <row r="253" spans="1:28" x14ac:dyDescent="0.25">
      <c r="A253" s="110"/>
      <c r="C253" s="110"/>
      <c r="D253" s="110"/>
      <c r="F253" s="140"/>
      <c r="H253" s="34"/>
      <c r="I253" s="34"/>
      <c r="J253" s="34"/>
      <c r="L253" s="34"/>
      <c r="N253" s="34"/>
      <c r="R253" s="57"/>
      <c r="S253" s="61" t="str">
        <f t="shared" si="14"/>
        <v>C:\Users\96015\Desktop\EMR Log\</v>
      </c>
      <c r="T253" s="57" t="str">
        <f t="shared" si="15"/>
        <v>C:\Users\96015\Desktop\EMR Log\\.txt</v>
      </c>
      <c r="AB253" s="34"/>
    </row>
    <row r="254" spans="1:28" x14ac:dyDescent="0.25">
      <c r="A254" s="110"/>
      <c r="C254" s="110"/>
      <c r="D254" s="110"/>
      <c r="F254" s="140"/>
      <c r="H254" s="34"/>
      <c r="I254" s="34"/>
      <c r="J254" s="34"/>
      <c r="L254" s="34"/>
      <c r="N254" s="34"/>
      <c r="R254" s="57"/>
      <c r="S254" s="61" t="str">
        <f t="shared" si="14"/>
        <v>C:\Users\96015\Desktop\EMR Log\</v>
      </c>
      <c r="T254" s="57" t="str">
        <f t="shared" si="15"/>
        <v>C:\Users\96015\Desktop\EMR Log\\.txt</v>
      </c>
      <c r="AB254" s="34"/>
    </row>
    <row r="255" spans="1:28" x14ac:dyDescent="0.25">
      <c r="A255" s="110"/>
      <c r="C255" s="110"/>
      <c r="D255" s="110"/>
      <c r="F255" s="140"/>
      <c r="H255" s="34"/>
      <c r="I255" s="34"/>
      <c r="J255" s="34"/>
      <c r="L255" s="34"/>
      <c r="N255" s="34"/>
      <c r="R255" s="57"/>
      <c r="S255" s="61" t="str">
        <f t="shared" si="14"/>
        <v>C:\Users\96015\Desktop\EMR Log\</v>
      </c>
      <c r="T255" s="57" t="str">
        <f t="shared" si="15"/>
        <v>C:\Users\96015\Desktop\EMR Log\\.txt</v>
      </c>
      <c r="AB255" s="34"/>
    </row>
    <row r="256" spans="1:28" x14ac:dyDescent="0.25">
      <c r="A256" s="110"/>
      <c r="C256" s="110"/>
      <c r="D256" s="110"/>
      <c r="F256" s="140"/>
      <c r="H256" s="34"/>
      <c r="I256" s="34"/>
      <c r="J256" s="34"/>
      <c r="L256" s="34"/>
      <c r="N256" s="34"/>
      <c r="R256" s="57"/>
      <c r="S256" s="61" t="str">
        <f t="shared" si="14"/>
        <v>C:\Users\96015\Desktop\EMR Log\</v>
      </c>
      <c r="T256" s="57" t="str">
        <f t="shared" si="15"/>
        <v>C:\Users\96015\Desktop\EMR Log\\.txt</v>
      </c>
      <c r="AB256" s="34"/>
    </row>
    <row r="257" spans="1:28" x14ac:dyDescent="0.25">
      <c r="A257" s="110"/>
      <c r="C257" s="110"/>
      <c r="D257" s="110"/>
      <c r="F257" s="140"/>
      <c r="H257" s="34"/>
      <c r="I257" s="34"/>
      <c r="J257" s="34"/>
      <c r="L257" s="34"/>
      <c r="N257" s="34"/>
      <c r="R257" s="57"/>
      <c r="S257" s="61" t="str">
        <f t="shared" si="14"/>
        <v>C:\Users\96015\Desktop\EMR Log\</v>
      </c>
      <c r="T257" s="57" t="str">
        <f t="shared" si="15"/>
        <v>C:\Users\96015\Desktop\EMR Log\\.txt</v>
      </c>
      <c r="AB257" s="34"/>
    </row>
    <row r="258" spans="1:28" x14ac:dyDescent="0.25">
      <c r="A258" s="110"/>
      <c r="C258" s="110"/>
      <c r="D258" s="110"/>
      <c r="F258" s="140"/>
      <c r="H258" s="34"/>
      <c r="I258" s="34"/>
      <c r="J258" s="34"/>
      <c r="L258" s="34"/>
      <c r="N258" s="34"/>
      <c r="R258" s="57"/>
      <c r="S258" s="61" t="str">
        <f t="shared" ref="S258:S269" si="16">CONCATENATE("C:\Users\96015\Desktop\EMR Log\", R258)</f>
        <v>C:\Users\96015\Desktop\EMR Log\</v>
      </c>
      <c r="T258" s="57" t="str">
        <f t="shared" ref="T258:T269" si="17">CONCATENATE("C:\Users\96015\Desktop\EMR Log\",R258,"\",R258,".txt")</f>
        <v>C:\Users\96015\Desktop\EMR Log\\.txt</v>
      </c>
      <c r="AB258" s="34"/>
    </row>
    <row r="259" spans="1:28" x14ac:dyDescent="0.25">
      <c r="A259" s="110"/>
      <c r="C259" s="110"/>
      <c r="D259" s="110"/>
      <c r="F259" s="140"/>
      <c r="H259" s="34"/>
      <c r="I259" s="34"/>
      <c r="J259" s="34"/>
      <c r="L259" s="34"/>
      <c r="N259" s="34"/>
      <c r="R259" s="57"/>
      <c r="S259" s="61" t="str">
        <f t="shared" si="16"/>
        <v>C:\Users\96015\Desktop\EMR Log\</v>
      </c>
      <c r="T259" s="57" t="str">
        <f t="shared" si="17"/>
        <v>C:\Users\96015\Desktop\EMR Log\\.txt</v>
      </c>
      <c r="AB259" s="34"/>
    </row>
    <row r="260" spans="1:28" x14ac:dyDescent="0.25">
      <c r="A260" s="110"/>
      <c r="C260" s="110"/>
      <c r="D260" s="110"/>
      <c r="F260" s="140"/>
      <c r="H260" s="34"/>
      <c r="I260" s="34"/>
      <c r="J260" s="34"/>
      <c r="L260" s="34"/>
      <c r="N260" s="34"/>
      <c r="R260" s="57"/>
      <c r="S260" s="61" t="str">
        <f t="shared" si="16"/>
        <v>C:\Users\96015\Desktop\EMR Log\</v>
      </c>
      <c r="T260" s="57" t="str">
        <f t="shared" si="17"/>
        <v>C:\Users\96015\Desktop\EMR Log\\.txt</v>
      </c>
      <c r="AB260" s="34"/>
    </row>
    <row r="261" spans="1:28" x14ac:dyDescent="0.25">
      <c r="A261" s="110"/>
      <c r="C261" s="110"/>
      <c r="D261" s="110"/>
      <c r="F261" s="140"/>
      <c r="H261" s="34"/>
      <c r="I261" s="34"/>
      <c r="J261" s="34"/>
      <c r="L261" s="34"/>
      <c r="N261" s="34"/>
      <c r="R261" s="57"/>
      <c r="S261" s="61" t="str">
        <f t="shared" si="16"/>
        <v>C:\Users\96015\Desktop\EMR Log\</v>
      </c>
      <c r="T261" s="57" t="str">
        <f t="shared" si="17"/>
        <v>C:\Users\96015\Desktop\EMR Log\\.txt</v>
      </c>
      <c r="AB261" s="34"/>
    </row>
    <row r="262" spans="1:28" x14ac:dyDescent="0.25">
      <c r="A262" s="110"/>
      <c r="C262" s="110"/>
      <c r="D262" s="110"/>
      <c r="F262" s="140"/>
      <c r="H262" s="34"/>
      <c r="I262" s="34"/>
      <c r="J262" s="34"/>
      <c r="L262" s="34"/>
      <c r="N262" s="34"/>
      <c r="R262" s="57"/>
      <c r="S262" s="61" t="str">
        <f t="shared" si="16"/>
        <v>C:\Users\96015\Desktop\EMR Log\</v>
      </c>
      <c r="T262" s="57" t="str">
        <f t="shared" si="17"/>
        <v>C:\Users\96015\Desktop\EMR Log\\.txt</v>
      </c>
      <c r="AB262" s="34"/>
    </row>
    <row r="263" spans="1:28" x14ac:dyDescent="0.25">
      <c r="A263" s="110"/>
      <c r="C263" s="110"/>
      <c r="D263" s="110"/>
      <c r="F263" s="140"/>
      <c r="H263" s="34"/>
      <c r="I263" s="34"/>
      <c r="J263" s="34"/>
      <c r="L263" s="34"/>
      <c r="N263" s="34"/>
      <c r="R263" s="57"/>
      <c r="S263" s="61" t="str">
        <f t="shared" si="16"/>
        <v>C:\Users\96015\Desktop\EMR Log\</v>
      </c>
      <c r="T263" s="57" t="str">
        <f t="shared" si="17"/>
        <v>C:\Users\96015\Desktop\EMR Log\\.txt</v>
      </c>
      <c r="AB263" s="34"/>
    </row>
    <row r="264" spans="1:28" x14ac:dyDescent="0.25">
      <c r="A264" s="110"/>
      <c r="C264" s="110"/>
      <c r="D264" s="110"/>
      <c r="F264" s="140"/>
      <c r="H264" s="34"/>
      <c r="I264" s="34"/>
      <c r="J264" s="34"/>
      <c r="L264" s="34"/>
      <c r="N264" s="34"/>
      <c r="R264" s="57"/>
      <c r="S264" s="61" t="str">
        <f t="shared" si="16"/>
        <v>C:\Users\96015\Desktop\EMR Log\</v>
      </c>
      <c r="T264" s="57" t="str">
        <f t="shared" si="17"/>
        <v>C:\Users\96015\Desktop\EMR Log\\.txt</v>
      </c>
      <c r="AB264" s="34"/>
    </row>
    <row r="265" spans="1:28" x14ac:dyDescent="0.25">
      <c r="A265" s="110"/>
      <c r="C265" s="110"/>
      <c r="D265" s="110"/>
      <c r="F265" s="140"/>
      <c r="H265" s="34"/>
      <c r="I265" s="34"/>
      <c r="J265" s="34"/>
      <c r="L265" s="34"/>
      <c r="N265" s="34"/>
      <c r="R265" s="57"/>
      <c r="S265" s="61" t="str">
        <f t="shared" si="16"/>
        <v>C:\Users\96015\Desktop\EMR Log\</v>
      </c>
      <c r="T265" s="57" t="str">
        <f t="shared" si="17"/>
        <v>C:\Users\96015\Desktop\EMR Log\\.txt</v>
      </c>
      <c r="AB265" s="34"/>
    </row>
    <row r="266" spans="1:28" x14ac:dyDescent="0.25">
      <c r="A266" s="110"/>
      <c r="C266" s="110"/>
      <c r="D266" s="110"/>
      <c r="F266" s="140"/>
      <c r="H266" s="34"/>
      <c r="I266" s="34"/>
      <c r="J266" s="34"/>
      <c r="L266" s="34"/>
      <c r="N266" s="34"/>
      <c r="R266" s="57"/>
      <c r="S266" s="61" t="str">
        <f t="shared" si="16"/>
        <v>C:\Users\96015\Desktop\EMR Log\</v>
      </c>
      <c r="T266" s="57" t="str">
        <f t="shared" si="17"/>
        <v>C:\Users\96015\Desktop\EMR Log\\.txt</v>
      </c>
      <c r="AB266" s="34"/>
    </row>
    <row r="267" spans="1:28" x14ac:dyDescent="0.25">
      <c r="A267" s="110"/>
      <c r="C267" s="110"/>
      <c r="D267" s="110"/>
      <c r="F267" s="140"/>
      <c r="H267" s="34"/>
      <c r="I267" s="34"/>
      <c r="J267" s="34"/>
      <c r="L267" s="34"/>
      <c r="N267" s="34"/>
      <c r="R267" s="57"/>
      <c r="S267" s="61" t="str">
        <f t="shared" si="16"/>
        <v>C:\Users\96015\Desktop\EMR Log\</v>
      </c>
      <c r="T267" s="57" t="str">
        <f t="shared" si="17"/>
        <v>C:\Users\96015\Desktop\EMR Log\\.txt</v>
      </c>
      <c r="AB267" s="34"/>
    </row>
    <row r="268" spans="1:28" x14ac:dyDescent="0.25">
      <c r="A268" s="110"/>
      <c r="C268" s="110"/>
      <c r="D268" s="110"/>
      <c r="F268" s="140"/>
      <c r="H268" s="34"/>
      <c r="I268" s="34"/>
      <c r="J268" s="34"/>
      <c r="L268" s="34"/>
      <c r="N268" s="34"/>
      <c r="R268" s="57"/>
      <c r="S268" s="61" t="str">
        <f t="shared" si="16"/>
        <v>C:\Users\96015\Desktop\EMR Log\</v>
      </c>
      <c r="T268" s="57" t="str">
        <f t="shared" si="17"/>
        <v>C:\Users\96015\Desktop\EMR Log\\.txt</v>
      </c>
      <c r="AB268" s="34"/>
    </row>
    <row r="269" spans="1:28" x14ac:dyDescent="0.25">
      <c r="A269" s="110"/>
      <c r="C269" s="110"/>
      <c r="D269" s="110"/>
      <c r="F269" s="140"/>
      <c r="H269" s="34"/>
      <c r="I269" s="34"/>
      <c r="J269" s="34"/>
      <c r="L269" s="34"/>
      <c r="N269" s="34"/>
      <c r="R269" s="57"/>
      <c r="S269" s="61" t="str">
        <f t="shared" si="16"/>
        <v>C:\Users\96015\Desktop\EMR Log\</v>
      </c>
      <c r="T269" s="57" t="str">
        <f t="shared" si="17"/>
        <v>C:\Users\96015\Desktop\EMR Log\\.txt</v>
      </c>
      <c r="AB269" s="34"/>
    </row>
    <row r="270" spans="1:28" x14ac:dyDescent="0.25">
      <c r="A270" s="110"/>
      <c r="C270" s="110"/>
      <c r="D270" s="110"/>
      <c r="F270" s="140"/>
      <c r="H270" s="34"/>
      <c r="I270" s="34"/>
      <c r="J270" s="34"/>
      <c r="L270" s="34"/>
      <c r="N270" s="34"/>
      <c r="AB270" s="34"/>
    </row>
    <row r="271" spans="1:28" x14ac:dyDescent="0.25">
      <c r="A271" s="110"/>
      <c r="C271" s="110"/>
      <c r="D271" s="110"/>
      <c r="F271" s="140"/>
      <c r="H271" s="34"/>
      <c r="I271" s="34"/>
      <c r="J271" s="34"/>
      <c r="L271" s="34"/>
      <c r="N271" s="34"/>
      <c r="AB271" s="34"/>
    </row>
    <row r="272" spans="1:28" x14ac:dyDescent="0.25">
      <c r="A272" s="110"/>
      <c r="C272" s="110"/>
      <c r="D272" s="110"/>
      <c r="F272" s="140"/>
      <c r="H272" s="34"/>
      <c r="I272" s="34"/>
      <c r="J272" s="34"/>
      <c r="L272" s="34"/>
      <c r="N272" s="34"/>
      <c r="AB272" s="34"/>
    </row>
    <row r="273" spans="1:28" x14ac:dyDescent="0.25">
      <c r="A273" s="110"/>
      <c r="C273" s="110"/>
      <c r="D273" s="110"/>
      <c r="F273" s="140"/>
      <c r="H273" s="34"/>
      <c r="I273" s="34"/>
      <c r="J273" s="34"/>
      <c r="L273" s="34"/>
      <c r="N273" s="34"/>
      <c r="AB273" s="34"/>
    </row>
    <row r="274" spans="1:28" x14ac:dyDescent="0.25">
      <c r="A274" s="110"/>
      <c r="C274" s="110"/>
      <c r="D274" s="110"/>
      <c r="F274" s="140"/>
      <c r="H274" s="34"/>
      <c r="I274" s="34"/>
      <c r="J274" s="34"/>
      <c r="L274" s="34"/>
      <c r="N274" s="34"/>
      <c r="AB274" s="34"/>
    </row>
    <row r="275" spans="1:28" x14ac:dyDescent="0.25">
      <c r="A275" s="110"/>
      <c r="C275" s="110"/>
      <c r="D275" s="110"/>
      <c r="F275" s="140"/>
      <c r="H275" s="34"/>
      <c r="I275" s="34"/>
      <c r="J275" s="34"/>
      <c r="L275" s="34"/>
      <c r="N275" s="34"/>
      <c r="AB275" s="34"/>
    </row>
    <row r="276" spans="1:28" x14ac:dyDescent="0.25">
      <c r="A276" s="110"/>
      <c r="C276" s="110"/>
      <c r="D276" s="110"/>
      <c r="F276" s="140"/>
      <c r="H276" s="34"/>
      <c r="I276" s="34"/>
      <c r="J276" s="34"/>
      <c r="L276" s="34"/>
      <c r="N276" s="34"/>
      <c r="AB276" s="34"/>
    </row>
    <row r="277" spans="1:28" x14ac:dyDescent="0.25">
      <c r="A277" s="110"/>
      <c r="C277" s="110"/>
      <c r="D277" s="110"/>
      <c r="F277" s="140"/>
      <c r="H277" s="34"/>
      <c r="I277" s="34"/>
      <c r="J277" s="34"/>
      <c r="L277" s="34"/>
      <c r="N277" s="34"/>
      <c r="AB277" s="34"/>
    </row>
    <row r="278" spans="1:28" x14ac:dyDescent="0.25">
      <c r="A278" s="110"/>
      <c r="C278" s="110"/>
      <c r="D278" s="110"/>
      <c r="F278" s="140"/>
      <c r="H278" s="34"/>
      <c r="I278" s="34"/>
      <c r="J278" s="34"/>
      <c r="L278" s="34"/>
      <c r="N278" s="34"/>
      <c r="AB278" s="34"/>
    </row>
    <row r="279" spans="1:28" x14ac:dyDescent="0.25">
      <c r="A279" s="110"/>
      <c r="C279" s="110"/>
      <c r="D279" s="110"/>
      <c r="F279" s="140"/>
      <c r="H279" s="34"/>
      <c r="I279" s="34"/>
      <c r="J279" s="34"/>
      <c r="L279" s="34"/>
      <c r="N279" s="34"/>
      <c r="AB279" s="34"/>
    </row>
    <row r="280" spans="1:28" x14ac:dyDescent="0.25">
      <c r="A280" s="110"/>
      <c r="C280" s="110"/>
      <c r="D280" s="110"/>
      <c r="F280" s="140"/>
      <c r="H280" s="34"/>
      <c r="I280" s="34"/>
      <c r="J280" s="34"/>
      <c r="L280" s="34"/>
      <c r="N280" s="34"/>
      <c r="AB280" s="34"/>
    </row>
    <row r="281" spans="1:28" x14ac:dyDescent="0.25">
      <c r="A281" s="110"/>
      <c r="C281" s="110"/>
      <c r="D281" s="110"/>
      <c r="F281" s="140"/>
      <c r="H281" s="34"/>
      <c r="I281" s="34"/>
      <c r="J281" s="34"/>
      <c r="L281" s="34"/>
      <c r="N281" s="34"/>
      <c r="AB281" s="34"/>
    </row>
    <row r="282" spans="1:28" x14ac:dyDescent="0.25">
      <c r="A282" s="110"/>
      <c r="C282" s="110"/>
      <c r="D282" s="110"/>
      <c r="F282" s="140"/>
      <c r="H282" s="34"/>
      <c r="I282" s="34"/>
      <c r="J282" s="34"/>
      <c r="L282" s="34"/>
      <c r="N282" s="34"/>
      <c r="AB282" s="34"/>
    </row>
    <row r="283" spans="1:28" x14ac:dyDescent="0.25">
      <c r="A283" s="110"/>
      <c r="C283" s="110"/>
      <c r="D283" s="110"/>
      <c r="F283" s="140"/>
      <c r="H283" s="34"/>
      <c r="I283" s="34"/>
      <c r="J283" s="34"/>
      <c r="L283" s="34"/>
      <c r="N283" s="34"/>
      <c r="AB283" s="34"/>
    </row>
    <row r="284" spans="1:28" x14ac:dyDescent="0.25">
      <c r="A284" s="110"/>
      <c r="C284" s="110"/>
      <c r="D284" s="110"/>
      <c r="F284" s="140"/>
      <c r="H284" s="34"/>
      <c r="I284" s="34"/>
      <c r="J284" s="34"/>
      <c r="L284" s="34"/>
      <c r="N284" s="34"/>
      <c r="AB284" s="34"/>
    </row>
    <row r="285" spans="1:28" x14ac:dyDescent="0.25">
      <c r="A285" s="110"/>
      <c r="C285" s="110"/>
      <c r="D285" s="110"/>
      <c r="F285" s="140"/>
      <c r="H285" s="34"/>
      <c r="I285" s="34"/>
      <c r="J285" s="34"/>
      <c r="L285" s="34"/>
      <c r="N285" s="34"/>
      <c r="AB285" s="34"/>
    </row>
    <row r="286" spans="1:28" x14ac:dyDescent="0.25">
      <c r="A286" s="110"/>
      <c r="C286" s="110"/>
      <c r="D286" s="110"/>
      <c r="F286" s="140"/>
      <c r="H286" s="34"/>
      <c r="I286" s="34"/>
      <c r="J286" s="34"/>
      <c r="L286" s="34"/>
      <c r="N286" s="34"/>
      <c r="AB286" s="34"/>
    </row>
    <row r="287" spans="1:28" x14ac:dyDescent="0.25">
      <c r="A287" s="110"/>
      <c r="C287" s="110"/>
      <c r="D287" s="110"/>
      <c r="F287" s="140"/>
      <c r="H287" s="34"/>
      <c r="I287" s="34"/>
      <c r="J287" s="34"/>
      <c r="L287" s="34"/>
      <c r="N287" s="34"/>
      <c r="AB287" s="34"/>
    </row>
    <row r="288" spans="1:28" x14ac:dyDescent="0.25">
      <c r="A288" s="110"/>
      <c r="C288" s="110"/>
      <c r="D288" s="110"/>
      <c r="F288" s="140"/>
      <c r="H288" s="34"/>
      <c r="I288" s="34"/>
      <c r="J288" s="34"/>
      <c r="L288" s="34"/>
      <c r="N288" s="34"/>
      <c r="AB288" s="34"/>
    </row>
    <row r="289" spans="1:28" x14ac:dyDescent="0.25">
      <c r="A289" s="110"/>
      <c r="C289" s="110"/>
      <c r="D289" s="110"/>
      <c r="F289" s="140"/>
      <c r="H289" s="34"/>
      <c r="I289" s="34"/>
      <c r="J289" s="34"/>
      <c r="L289" s="34"/>
      <c r="N289" s="34"/>
      <c r="AB289" s="34"/>
    </row>
    <row r="290" spans="1:28" x14ac:dyDescent="0.25">
      <c r="A290" s="110"/>
      <c r="C290" s="110"/>
      <c r="D290" s="110"/>
      <c r="F290" s="140"/>
      <c r="H290" s="34"/>
      <c r="I290" s="34"/>
      <c r="J290" s="34"/>
      <c r="L290" s="34"/>
      <c r="N290" s="34"/>
      <c r="AB290" s="34"/>
    </row>
    <row r="291" spans="1:28" x14ac:dyDescent="0.25">
      <c r="A291" s="110"/>
      <c r="C291" s="110"/>
      <c r="D291" s="110"/>
      <c r="F291" s="140"/>
      <c r="H291" s="34"/>
      <c r="I291" s="34"/>
      <c r="J291" s="34"/>
      <c r="L291" s="34"/>
      <c r="N291" s="34"/>
      <c r="AB291" s="34"/>
    </row>
    <row r="292" spans="1:28" x14ac:dyDescent="0.25">
      <c r="A292" s="110"/>
      <c r="C292" s="110"/>
      <c r="D292" s="110"/>
      <c r="F292" s="140"/>
      <c r="H292" s="34"/>
      <c r="I292" s="34"/>
      <c r="J292" s="34"/>
      <c r="L292" s="34"/>
      <c r="N292" s="34"/>
      <c r="AB292" s="34"/>
    </row>
    <row r="293" spans="1:28" x14ac:dyDescent="0.25">
      <c r="A293" s="110"/>
      <c r="C293" s="110"/>
      <c r="D293" s="110"/>
      <c r="F293" s="140"/>
      <c r="H293" s="34"/>
      <c r="I293" s="34"/>
      <c r="J293" s="34"/>
      <c r="L293" s="34"/>
      <c r="N293" s="34"/>
      <c r="AB293" s="34"/>
    </row>
    <row r="294" spans="1:28" x14ac:dyDescent="0.25">
      <c r="A294" s="110"/>
      <c r="C294" s="110"/>
      <c r="D294" s="110"/>
      <c r="F294" s="140"/>
      <c r="H294" s="34"/>
      <c r="I294" s="34"/>
      <c r="J294" s="34"/>
      <c r="L294" s="34"/>
      <c r="N294" s="34"/>
      <c r="AB294" s="34"/>
    </row>
    <row r="295" spans="1:28" x14ac:dyDescent="0.25">
      <c r="A295" s="110"/>
      <c r="C295" s="110"/>
      <c r="D295" s="110"/>
      <c r="F295" s="140"/>
      <c r="H295" s="34"/>
      <c r="I295" s="34"/>
      <c r="J295" s="34"/>
      <c r="L295" s="34"/>
      <c r="N295" s="34"/>
      <c r="AB295" s="34"/>
    </row>
    <row r="296" spans="1:28" x14ac:dyDescent="0.25">
      <c r="A296" s="110"/>
      <c r="C296" s="110"/>
      <c r="D296" s="110"/>
      <c r="F296" s="140"/>
      <c r="H296" s="34"/>
      <c r="I296" s="34"/>
      <c r="J296" s="34"/>
      <c r="L296" s="34"/>
      <c r="N296" s="34"/>
      <c r="AB296" s="34"/>
    </row>
    <row r="297" spans="1:28" x14ac:dyDescent="0.25">
      <c r="A297" s="110"/>
      <c r="C297" s="110"/>
      <c r="D297" s="110"/>
      <c r="F297" s="140"/>
      <c r="H297" s="34"/>
      <c r="I297" s="34"/>
      <c r="J297" s="34"/>
      <c r="L297" s="34"/>
      <c r="N297" s="34"/>
      <c r="AB297" s="34"/>
    </row>
    <row r="298" spans="1:28" x14ac:dyDescent="0.25">
      <c r="A298" s="110"/>
      <c r="C298" s="110"/>
      <c r="D298" s="110"/>
      <c r="F298" s="140"/>
      <c r="H298" s="34"/>
      <c r="I298" s="34"/>
      <c r="J298" s="34"/>
      <c r="L298" s="34"/>
      <c r="N298" s="34"/>
      <c r="AB298" s="34"/>
    </row>
    <row r="299" spans="1:28" x14ac:dyDescent="0.25">
      <c r="A299" s="110"/>
      <c r="C299" s="110"/>
      <c r="D299" s="110"/>
      <c r="F299" s="140"/>
      <c r="H299" s="34"/>
      <c r="I299" s="34"/>
      <c r="J299" s="34"/>
      <c r="L299" s="34"/>
      <c r="N299" s="34"/>
      <c r="AB299" s="34"/>
    </row>
    <row r="300" spans="1:28" x14ac:dyDescent="0.25">
      <c r="A300" s="110"/>
      <c r="C300" s="110"/>
      <c r="D300" s="110"/>
      <c r="F300" s="140"/>
      <c r="H300" s="34"/>
      <c r="I300" s="34"/>
      <c r="J300" s="34"/>
      <c r="L300" s="34"/>
      <c r="N300" s="34"/>
      <c r="AB300" s="34"/>
    </row>
    <row r="301" spans="1:28" x14ac:dyDescent="0.25">
      <c r="A301" s="110"/>
      <c r="C301" s="110"/>
      <c r="D301" s="110"/>
      <c r="F301" s="140"/>
      <c r="H301" s="34"/>
      <c r="I301" s="34"/>
      <c r="J301" s="34"/>
      <c r="L301" s="34"/>
      <c r="N301" s="34"/>
      <c r="AB301" s="34"/>
    </row>
    <row r="302" spans="1:28" x14ac:dyDescent="0.25">
      <c r="A302" s="110"/>
      <c r="C302" s="110"/>
      <c r="D302" s="110"/>
      <c r="F302" s="140"/>
      <c r="H302" s="34"/>
      <c r="I302" s="34"/>
      <c r="J302" s="34"/>
      <c r="L302" s="34"/>
      <c r="N302" s="34"/>
      <c r="AB302" s="34"/>
    </row>
    <row r="303" spans="1:28" x14ac:dyDescent="0.25">
      <c r="A303" s="110"/>
      <c r="C303" s="110"/>
      <c r="D303" s="110"/>
      <c r="F303" s="140"/>
      <c r="H303" s="34"/>
      <c r="I303" s="34"/>
      <c r="J303" s="34"/>
      <c r="L303" s="34"/>
      <c r="N303" s="34"/>
      <c r="AB303" s="34"/>
    </row>
    <row r="304" spans="1:28" x14ac:dyDescent="0.25">
      <c r="A304" s="110"/>
      <c r="C304" s="110"/>
      <c r="D304" s="110"/>
      <c r="F304" s="140"/>
      <c r="H304" s="34"/>
      <c r="I304" s="34"/>
      <c r="J304" s="34"/>
      <c r="L304" s="34"/>
      <c r="N304" s="34"/>
      <c r="AB304" s="34"/>
    </row>
    <row r="305" spans="1:28" x14ac:dyDescent="0.25">
      <c r="A305" s="110"/>
      <c r="C305" s="110"/>
      <c r="D305" s="110"/>
      <c r="F305" s="140"/>
      <c r="H305" s="34"/>
      <c r="I305" s="34"/>
      <c r="J305" s="34"/>
      <c r="L305" s="34"/>
      <c r="N305" s="34"/>
      <c r="AB305" s="34"/>
    </row>
    <row r="306" spans="1:28" x14ac:dyDescent="0.25">
      <c r="A306" s="110"/>
      <c r="C306" s="110"/>
      <c r="D306" s="110"/>
      <c r="F306" s="140"/>
      <c r="H306" s="34"/>
      <c r="I306" s="34"/>
      <c r="J306" s="34"/>
      <c r="L306" s="34"/>
      <c r="N306" s="34"/>
      <c r="AB306" s="34"/>
    </row>
    <row r="307" spans="1:28" x14ac:dyDescent="0.25">
      <c r="A307" s="110"/>
      <c r="C307" s="110"/>
      <c r="D307" s="110"/>
      <c r="F307" s="140"/>
      <c r="H307" s="34"/>
      <c r="I307" s="34"/>
      <c r="J307" s="34"/>
      <c r="L307" s="34"/>
      <c r="N307" s="34"/>
      <c r="AB307" s="34"/>
    </row>
    <row r="308" spans="1:28" x14ac:dyDescent="0.25">
      <c r="A308" s="110"/>
      <c r="C308" s="110"/>
      <c r="D308" s="110"/>
      <c r="F308" s="140"/>
      <c r="H308" s="34"/>
      <c r="I308" s="34"/>
      <c r="J308" s="34"/>
      <c r="L308" s="34"/>
      <c r="N308" s="34"/>
      <c r="AB308" s="34"/>
    </row>
    <row r="309" spans="1:28" x14ac:dyDescent="0.25">
      <c r="A309" s="110"/>
      <c r="C309" s="110"/>
      <c r="D309" s="110"/>
      <c r="F309" s="140"/>
      <c r="H309" s="34"/>
      <c r="I309" s="34"/>
      <c r="J309" s="34"/>
      <c r="L309" s="34"/>
      <c r="N309" s="34"/>
      <c r="AB309" s="34"/>
    </row>
    <row r="310" spans="1:28" x14ac:dyDescent="0.25">
      <c r="A310" s="110"/>
      <c r="C310" s="110"/>
      <c r="D310" s="110"/>
      <c r="F310" s="140"/>
      <c r="H310" s="34"/>
      <c r="I310" s="34"/>
      <c r="J310" s="34"/>
      <c r="L310" s="34"/>
      <c r="N310" s="34"/>
      <c r="AB310" s="34"/>
    </row>
    <row r="311" spans="1:28" x14ac:dyDescent="0.25">
      <c r="A311" s="110"/>
      <c r="C311" s="110"/>
      <c r="D311" s="110"/>
      <c r="F311" s="140"/>
      <c r="H311" s="34"/>
      <c r="I311" s="34"/>
      <c r="J311" s="34"/>
      <c r="L311" s="34"/>
      <c r="N311" s="34"/>
      <c r="AB311" s="34"/>
    </row>
    <row r="312" spans="1:28" x14ac:dyDescent="0.25">
      <c r="A312" s="110"/>
      <c r="C312" s="110"/>
      <c r="D312" s="110"/>
      <c r="F312" s="140"/>
      <c r="H312" s="34"/>
      <c r="I312" s="34"/>
      <c r="J312" s="34"/>
      <c r="L312" s="34"/>
      <c r="N312" s="34"/>
      <c r="AB312" s="34"/>
    </row>
    <row r="313" spans="1:28" x14ac:dyDescent="0.25">
      <c r="A313" s="110"/>
      <c r="C313" s="110"/>
      <c r="D313" s="110"/>
      <c r="F313" s="140"/>
      <c r="H313" s="34"/>
      <c r="I313" s="34"/>
      <c r="J313" s="34"/>
      <c r="L313" s="34"/>
      <c r="N313" s="34"/>
      <c r="AB313" s="34"/>
    </row>
    <row r="314" spans="1:28" x14ac:dyDescent="0.25">
      <c r="A314" s="110"/>
      <c r="C314" s="110"/>
      <c r="D314" s="110"/>
      <c r="F314" s="140"/>
      <c r="H314" s="34"/>
      <c r="I314" s="34"/>
      <c r="J314" s="34"/>
      <c r="L314" s="34"/>
      <c r="N314" s="34"/>
      <c r="AB314" s="34"/>
    </row>
    <row r="315" spans="1:28" x14ac:dyDescent="0.25">
      <c r="A315" s="110"/>
      <c r="C315" s="110"/>
      <c r="D315" s="110"/>
      <c r="F315" s="140"/>
      <c r="H315" s="34"/>
      <c r="I315" s="34"/>
      <c r="J315" s="34"/>
      <c r="L315" s="34"/>
      <c r="N315" s="34"/>
      <c r="AB315" s="34"/>
    </row>
    <row r="316" spans="1:28" x14ac:dyDescent="0.25">
      <c r="A316" s="110"/>
      <c r="C316" s="110"/>
      <c r="D316" s="110"/>
      <c r="F316" s="140"/>
      <c r="H316" s="34"/>
      <c r="I316" s="34"/>
      <c r="J316" s="34"/>
      <c r="L316" s="34"/>
      <c r="N316" s="34"/>
      <c r="AB316" s="34"/>
    </row>
    <row r="317" spans="1:28" x14ac:dyDescent="0.25">
      <c r="A317" s="110"/>
      <c r="C317" s="110"/>
      <c r="D317" s="110"/>
      <c r="F317" s="140"/>
      <c r="H317" s="34"/>
      <c r="I317" s="34"/>
      <c r="J317" s="34"/>
      <c r="L317" s="34"/>
      <c r="N317" s="34"/>
      <c r="AB317" s="34"/>
    </row>
    <row r="318" spans="1:28" x14ac:dyDescent="0.25">
      <c r="A318" s="110"/>
      <c r="C318" s="110"/>
      <c r="D318" s="110"/>
      <c r="F318" s="140"/>
      <c r="H318" s="34"/>
      <c r="I318" s="34"/>
      <c r="J318" s="34"/>
      <c r="L318" s="34"/>
      <c r="N318" s="34"/>
      <c r="AB318" s="34"/>
    </row>
    <row r="319" spans="1:28" x14ac:dyDescent="0.25">
      <c r="A319" s="110"/>
      <c r="C319" s="110"/>
      <c r="D319" s="110"/>
      <c r="F319" s="140"/>
      <c r="H319" s="34"/>
      <c r="I319" s="34"/>
      <c r="J319" s="34"/>
      <c r="L319" s="34"/>
      <c r="N319" s="34"/>
      <c r="AB319" s="34"/>
    </row>
    <row r="320" spans="1:28" x14ac:dyDescent="0.25">
      <c r="A320" s="110"/>
      <c r="C320" s="110"/>
      <c r="D320" s="110"/>
      <c r="F320" s="140"/>
      <c r="H320" s="34"/>
      <c r="I320" s="34"/>
      <c r="J320" s="34"/>
      <c r="L320" s="34"/>
      <c r="N320" s="34"/>
      <c r="AB320" s="34"/>
    </row>
    <row r="321" spans="1:28" x14ac:dyDescent="0.25">
      <c r="A321" s="110"/>
      <c r="C321" s="110"/>
      <c r="D321" s="110"/>
      <c r="F321" s="140"/>
      <c r="H321" s="34"/>
      <c r="I321" s="34"/>
      <c r="J321" s="34"/>
      <c r="L321" s="34"/>
      <c r="N321" s="34"/>
      <c r="AB321" s="34"/>
    </row>
    <row r="322" spans="1:28" x14ac:dyDescent="0.25">
      <c r="A322" s="110"/>
      <c r="C322" s="110"/>
      <c r="D322" s="110"/>
      <c r="F322" s="140"/>
      <c r="H322" s="34"/>
      <c r="I322" s="34"/>
      <c r="J322" s="34"/>
      <c r="L322" s="34"/>
      <c r="N322" s="34"/>
      <c r="AB322" s="34"/>
    </row>
    <row r="323" spans="1:28" x14ac:dyDescent="0.25">
      <c r="A323" s="110"/>
      <c r="C323" s="110"/>
      <c r="D323" s="110"/>
      <c r="F323" s="140"/>
      <c r="H323" s="34"/>
      <c r="I323" s="34"/>
      <c r="J323" s="34"/>
      <c r="L323" s="34"/>
      <c r="N323" s="34"/>
      <c r="AB323" s="34"/>
    </row>
    <row r="324" spans="1:28" x14ac:dyDescent="0.25">
      <c r="A324" s="110"/>
      <c r="C324" s="110"/>
      <c r="D324" s="110"/>
      <c r="F324" s="140"/>
      <c r="H324" s="34"/>
      <c r="I324" s="34"/>
      <c r="J324" s="34"/>
      <c r="L324" s="34"/>
      <c r="N324" s="34"/>
      <c r="AB324" s="34"/>
    </row>
    <row r="325" spans="1:28" x14ac:dyDescent="0.25">
      <c r="A325" s="110"/>
      <c r="C325" s="110"/>
      <c r="D325" s="110"/>
      <c r="F325" s="140"/>
      <c r="H325" s="34"/>
      <c r="I325" s="34"/>
      <c r="J325" s="34"/>
      <c r="L325" s="34"/>
      <c r="N325" s="34"/>
      <c r="AB325" s="34"/>
    </row>
    <row r="326" spans="1:28" x14ac:dyDescent="0.25">
      <c r="A326" s="110"/>
      <c r="C326" s="110"/>
      <c r="D326" s="110"/>
      <c r="F326" s="140"/>
      <c r="H326" s="34"/>
      <c r="I326" s="34"/>
      <c r="J326" s="34"/>
      <c r="L326" s="34"/>
      <c r="N326" s="34"/>
      <c r="AB326" s="34"/>
    </row>
    <row r="327" spans="1:28" x14ac:dyDescent="0.25">
      <c r="A327" s="110"/>
      <c r="C327" s="110"/>
      <c r="D327" s="110"/>
      <c r="F327" s="140"/>
      <c r="H327" s="34"/>
      <c r="I327" s="34"/>
      <c r="J327" s="34"/>
      <c r="L327" s="34"/>
      <c r="N327" s="34"/>
      <c r="AB327" s="34"/>
    </row>
    <row r="328" spans="1:28" x14ac:dyDescent="0.25">
      <c r="A328" s="110"/>
      <c r="C328" s="110"/>
      <c r="D328" s="110"/>
      <c r="F328" s="140"/>
      <c r="H328" s="34"/>
      <c r="I328" s="34"/>
      <c r="J328" s="34"/>
      <c r="L328" s="34"/>
      <c r="N328" s="34"/>
      <c r="AB328" s="34"/>
    </row>
    <row r="329" spans="1:28" x14ac:dyDescent="0.25">
      <c r="A329" s="110"/>
      <c r="C329" s="110"/>
      <c r="D329" s="110"/>
      <c r="F329" s="140"/>
      <c r="H329" s="34"/>
      <c r="I329" s="34"/>
      <c r="J329" s="34"/>
      <c r="L329" s="34"/>
      <c r="N329" s="34"/>
      <c r="AB329" s="34"/>
    </row>
    <row r="330" spans="1:28" x14ac:dyDescent="0.25">
      <c r="A330" s="110"/>
      <c r="C330" s="110"/>
      <c r="D330" s="110"/>
      <c r="F330" s="140"/>
      <c r="H330" s="34"/>
      <c r="I330" s="34"/>
      <c r="J330" s="34"/>
      <c r="L330" s="34"/>
      <c r="N330" s="34"/>
      <c r="AB330" s="34"/>
    </row>
    <row r="331" spans="1:28" x14ac:dyDescent="0.25">
      <c r="A331" s="110"/>
      <c r="C331" s="110"/>
      <c r="D331" s="110"/>
      <c r="F331" s="140"/>
      <c r="H331" s="34"/>
      <c r="I331" s="34"/>
      <c r="J331" s="34"/>
      <c r="L331" s="34"/>
      <c r="N331" s="34"/>
      <c r="AB331" s="34"/>
    </row>
    <row r="332" spans="1:28" x14ac:dyDescent="0.25">
      <c r="A332" s="110"/>
      <c r="C332" s="110"/>
      <c r="D332" s="110"/>
      <c r="F332" s="140"/>
      <c r="H332" s="34"/>
      <c r="I332" s="34"/>
      <c r="J332" s="34"/>
      <c r="L332" s="34"/>
      <c r="N332" s="34"/>
      <c r="AB332" s="34"/>
    </row>
    <row r="333" spans="1:28" x14ac:dyDescent="0.25">
      <c r="A333" s="110"/>
      <c r="C333" s="110"/>
      <c r="D333" s="110"/>
      <c r="F333" s="140"/>
      <c r="H333" s="34"/>
      <c r="I333" s="34"/>
      <c r="J333" s="34"/>
      <c r="L333" s="34"/>
      <c r="N333" s="34"/>
      <c r="AB333" s="34"/>
    </row>
    <row r="334" spans="1:28" x14ac:dyDescent="0.25">
      <c r="A334" s="110"/>
      <c r="C334" s="110"/>
      <c r="D334" s="110"/>
      <c r="F334" s="140"/>
      <c r="H334" s="34"/>
      <c r="I334" s="34"/>
      <c r="J334" s="34"/>
      <c r="L334" s="34"/>
      <c r="N334" s="34"/>
      <c r="AB334" s="34"/>
    </row>
    <row r="335" spans="1:28" x14ac:dyDescent="0.25">
      <c r="A335" s="110"/>
      <c r="C335" s="110"/>
      <c r="D335" s="110"/>
      <c r="F335" s="140"/>
      <c r="H335" s="34"/>
      <c r="I335" s="34"/>
      <c r="J335" s="34"/>
      <c r="L335" s="34"/>
      <c r="N335" s="34"/>
      <c r="AB335" s="34"/>
    </row>
    <row r="336" spans="1:28" x14ac:dyDescent="0.25">
      <c r="A336" s="110"/>
      <c r="C336" s="110"/>
      <c r="D336" s="110"/>
      <c r="F336" s="140"/>
      <c r="H336" s="34"/>
      <c r="I336" s="34"/>
      <c r="J336" s="34"/>
      <c r="L336" s="34"/>
      <c r="N336" s="34"/>
      <c r="AB336" s="34"/>
    </row>
    <row r="337" spans="1:28" x14ac:dyDescent="0.25">
      <c r="A337" s="110"/>
      <c r="C337" s="110"/>
      <c r="D337" s="110"/>
      <c r="F337" s="140"/>
      <c r="H337" s="34"/>
      <c r="I337" s="34"/>
      <c r="J337" s="34"/>
      <c r="L337" s="34"/>
      <c r="N337" s="34"/>
      <c r="AB337" s="34"/>
    </row>
    <row r="338" spans="1:28" x14ac:dyDescent="0.25">
      <c r="A338" s="110"/>
      <c r="C338" s="110"/>
      <c r="D338" s="110"/>
      <c r="F338" s="140"/>
      <c r="H338" s="34"/>
      <c r="I338" s="34"/>
      <c r="J338" s="34"/>
      <c r="L338" s="34"/>
      <c r="N338" s="34"/>
      <c r="AB338" s="34"/>
    </row>
    <row r="339" spans="1:28" x14ac:dyDescent="0.25">
      <c r="A339" s="110"/>
      <c r="C339" s="110"/>
      <c r="D339" s="110"/>
      <c r="F339" s="140"/>
      <c r="H339" s="34"/>
      <c r="I339" s="34"/>
      <c r="J339" s="34"/>
      <c r="L339" s="34"/>
      <c r="N339" s="34"/>
      <c r="AB339" s="34"/>
    </row>
    <row r="340" spans="1:28" x14ac:dyDescent="0.25">
      <c r="A340" s="110"/>
      <c r="C340" s="110"/>
      <c r="D340" s="110"/>
      <c r="F340" s="140"/>
      <c r="H340" s="34"/>
      <c r="I340" s="34"/>
      <c r="J340" s="34"/>
      <c r="L340" s="34"/>
      <c r="N340" s="34"/>
      <c r="AB340" s="34"/>
    </row>
    <row r="341" spans="1:28" x14ac:dyDescent="0.25">
      <c r="A341" s="110"/>
      <c r="C341" s="110"/>
      <c r="D341" s="110"/>
      <c r="F341" s="140"/>
      <c r="H341" s="34"/>
      <c r="I341" s="34"/>
      <c r="J341" s="34"/>
      <c r="L341" s="34"/>
      <c r="N341" s="34"/>
      <c r="AB341" s="34"/>
    </row>
    <row r="342" spans="1:28" x14ac:dyDescent="0.25">
      <c r="A342" s="110"/>
      <c r="C342" s="110"/>
      <c r="D342" s="110"/>
      <c r="F342" s="140"/>
      <c r="H342" s="34"/>
      <c r="I342" s="34"/>
      <c r="J342" s="34"/>
      <c r="L342" s="34"/>
      <c r="N342" s="34"/>
      <c r="AB342" s="34"/>
    </row>
    <row r="343" spans="1:28" x14ac:dyDescent="0.25">
      <c r="A343" s="110"/>
      <c r="C343" s="110"/>
      <c r="D343" s="110"/>
      <c r="F343" s="140"/>
      <c r="H343" s="34"/>
      <c r="I343" s="34"/>
      <c r="J343" s="34"/>
      <c r="L343" s="34"/>
      <c r="N343" s="34"/>
      <c r="AB343" s="34"/>
    </row>
    <row r="344" spans="1:28" x14ac:dyDescent="0.25">
      <c r="A344" s="110"/>
      <c r="C344" s="110"/>
      <c r="D344" s="110"/>
      <c r="F344" s="140"/>
      <c r="H344" s="34"/>
      <c r="I344" s="34"/>
      <c r="J344" s="34"/>
      <c r="L344" s="34"/>
      <c r="N344" s="34"/>
      <c r="AB344" s="34"/>
    </row>
    <row r="345" spans="1:28" x14ac:dyDescent="0.25">
      <c r="A345" s="110"/>
      <c r="C345" s="110"/>
      <c r="D345" s="110"/>
      <c r="F345" s="140"/>
      <c r="H345" s="34"/>
      <c r="I345" s="34"/>
      <c r="J345" s="34"/>
      <c r="L345" s="34"/>
      <c r="N345" s="34"/>
      <c r="AB345" s="34"/>
    </row>
    <row r="346" spans="1:28" x14ac:dyDescent="0.25">
      <c r="A346" s="110"/>
      <c r="C346" s="110"/>
      <c r="D346" s="110"/>
      <c r="F346" s="140"/>
      <c r="H346" s="34"/>
      <c r="I346" s="34"/>
      <c r="J346" s="34"/>
      <c r="L346" s="34"/>
      <c r="N346" s="34"/>
      <c r="AB346" s="34"/>
    </row>
    <row r="347" spans="1:28" x14ac:dyDescent="0.25">
      <c r="A347" s="110"/>
      <c r="C347" s="110"/>
      <c r="D347" s="110"/>
      <c r="F347" s="140"/>
      <c r="H347" s="34"/>
      <c r="I347" s="34"/>
      <c r="J347" s="34"/>
      <c r="L347" s="34"/>
      <c r="N347" s="34"/>
      <c r="AB347" s="34"/>
    </row>
    <row r="348" spans="1:28" x14ac:dyDescent="0.25">
      <c r="A348" s="110"/>
      <c r="C348" s="110"/>
      <c r="D348" s="110"/>
      <c r="F348" s="140"/>
      <c r="H348" s="34"/>
      <c r="I348" s="34"/>
      <c r="J348" s="34"/>
      <c r="L348" s="34"/>
      <c r="N348" s="34"/>
      <c r="AB348" s="34"/>
    </row>
    <row r="349" spans="1:28" x14ac:dyDescent="0.25">
      <c r="A349" s="110"/>
      <c r="C349" s="110"/>
      <c r="D349" s="110"/>
      <c r="F349" s="140"/>
      <c r="H349" s="34"/>
      <c r="I349" s="34"/>
      <c r="J349" s="34"/>
      <c r="L349" s="34"/>
      <c r="N349" s="34"/>
      <c r="AB349" s="34"/>
    </row>
    <row r="350" spans="1:28" x14ac:dyDescent="0.25">
      <c r="A350" s="110"/>
      <c r="C350" s="110"/>
      <c r="D350" s="110"/>
      <c r="F350" s="140"/>
      <c r="H350" s="34"/>
      <c r="I350" s="34"/>
      <c r="J350" s="34"/>
      <c r="L350" s="34"/>
      <c r="N350" s="34"/>
      <c r="AB350" s="34"/>
    </row>
    <row r="351" spans="1:28" x14ac:dyDescent="0.25">
      <c r="A351" s="110"/>
      <c r="C351" s="110"/>
      <c r="D351" s="110"/>
      <c r="F351" s="140"/>
      <c r="H351" s="34"/>
      <c r="I351" s="34"/>
      <c r="J351" s="34"/>
      <c r="L351" s="34"/>
      <c r="N351" s="34"/>
      <c r="AB351" s="34"/>
    </row>
    <row r="352" spans="1:28" x14ac:dyDescent="0.25">
      <c r="A352" s="110"/>
      <c r="C352" s="110"/>
      <c r="D352" s="110"/>
      <c r="F352" s="140"/>
      <c r="H352" s="34"/>
      <c r="I352" s="34"/>
      <c r="J352" s="34"/>
      <c r="L352" s="34"/>
      <c r="N352" s="34"/>
      <c r="AB352" s="34"/>
    </row>
    <row r="353" spans="1:28" x14ac:dyDescent="0.25">
      <c r="A353" s="110"/>
      <c r="C353" s="110"/>
      <c r="D353" s="110"/>
      <c r="F353" s="140"/>
      <c r="H353" s="34"/>
      <c r="I353" s="34"/>
      <c r="J353" s="34"/>
      <c r="L353" s="34"/>
      <c r="N353" s="34"/>
      <c r="AB353" s="34"/>
    </row>
    <row r="354" spans="1:28" x14ac:dyDescent="0.25">
      <c r="A354" s="110"/>
      <c r="C354" s="110"/>
      <c r="D354" s="110"/>
      <c r="F354" s="140"/>
      <c r="H354" s="34"/>
      <c r="I354" s="34"/>
      <c r="J354" s="34"/>
      <c r="L354" s="34"/>
      <c r="N354" s="34"/>
      <c r="AB354" s="34"/>
    </row>
    <row r="355" spans="1:28" x14ac:dyDescent="0.25">
      <c r="A355" s="110"/>
      <c r="C355" s="110"/>
      <c r="D355" s="110"/>
      <c r="F355" s="140"/>
      <c r="H355" s="34"/>
      <c r="I355" s="34"/>
      <c r="J355" s="34"/>
      <c r="L355" s="34"/>
      <c r="N355" s="34"/>
      <c r="AB355" s="34"/>
    </row>
    <row r="356" spans="1:28" x14ac:dyDescent="0.25">
      <c r="A356" s="110"/>
      <c r="C356" s="110"/>
      <c r="D356" s="110"/>
      <c r="F356" s="140"/>
      <c r="H356" s="34"/>
      <c r="I356" s="34"/>
      <c r="J356" s="34"/>
      <c r="L356" s="34"/>
      <c r="N356" s="34"/>
      <c r="AB356" s="34"/>
    </row>
    <row r="357" spans="1:28" x14ac:dyDescent="0.25">
      <c r="A357" s="110"/>
      <c r="C357" s="110"/>
      <c r="D357" s="110"/>
      <c r="F357" s="140"/>
      <c r="H357" s="34"/>
      <c r="I357" s="34"/>
      <c r="J357" s="34"/>
      <c r="L357" s="34"/>
      <c r="N357" s="34"/>
      <c r="AB357" s="34"/>
    </row>
    <row r="358" spans="1:28" x14ac:dyDescent="0.25">
      <c r="A358" s="110"/>
      <c r="C358" s="110"/>
      <c r="D358" s="110"/>
      <c r="F358" s="140"/>
      <c r="H358" s="34"/>
      <c r="I358" s="34"/>
      <c r="J358" s="34"/>
      <c r="L358" s="34"/>
      <c r="N358" s="34"/>
      <c r="AB358" s="34"/>
    </row>
    <row r="359" spans="1:28" x14ac:dyDescent="0.25">
      <c r="A359" s="110"/>
      <c r="C359" s="110"/>
      <c r="D359" s="110"/>
      <c r="F359" s="140"/>
      <c r="H359" s="34"/>
      <c r="I359" s="34"/>
      <c r="J359" s="34"/>
      <c r="L359" s="34"/>
      <c r="N359" s="34"/>
      <c r="AB359" s="34"/>
    </row>
    <row r="360" spans="1:28" x14ac:dyDescent="0.25">
      <c r="A360" s="110"/>
      <c r="C360" s="110"/>
      <c r="D360" s="110"/>
      <c r="F360" s="140"/>
      <c r="H360" s="34"/>
      <c r="I360" s="34"/>
      <c r="J360" s="34"/>
      <c r="L360" s="34"/>
      <c r="N360" s="34"/>
      <c r="AB360" s="34"/>
    </row>
    <row r="361" spans="1:28" x14ac:dyDescent="0.25">
      <c r="A361" s="110"/>
      <c r="C361" s="110"/>
      <c r="D361" s="110"/>
      <c r="F361" s="140"/>
      <c r="H361" s="34"/>
      <c r="I361" s="34"/>
      <c r="J361" s="34"/>
      <c r="L361" s="34"/>
      <c r="N361" s="34"/>
      <c r="AB361" s="34"/>
    </row>
    <row r="362" spans="1:28" x14ac:dyDescent="0.25">
      <c r="A362" s="110"/>
      <c r="C362" s="110"/>
      <c r="D362" s="110"/>
      <c r="F362" s="140"/>
      <c r="H362" s="34"/>
      <c r="I362" s="34"/>
      <c r="J362" s="34"/>
      <c r="L362" s="34"/>
      <c r="N362" s="34"/>
      <c r="AB362" s="34"/>
    </row>
    <row r="363" spans="1:28" x14ac:dyDescent="0.25">
      <c r="A363" s="110"/>
      <c r="C363" s="110"/>
      <c r="D363" s="110"/>
      <c r="F363" s="140"/>
      <c r="H363" s="34"/>
      <c r="I363" s="34"/>
      <c r="J363" s="34"/>
      <c r="L363" s="34"/>
      <c r="N363" s="34"/>
      <c r="AB363" s="34"/>
    </row>
    <row r="364" spans="1:28" x14ac:dyDescent="0.25">
      <c r="A364" s="110"/>
      <c r="C364" s="110"/>
      <c r="D364" s="110"/>
      <c r="F364" s="140"/>
      <c r="H364" s="34"/>
      <c r="I364" s="34"/>
      <c r="J364" s="34"/>
      <c r="L364" s="34"/>
      <c r="N364" s="34"/>
      <c r="AB364" s="34"/>
    </row>
    <row r="365" spans="1:28" x14ac:dyDescent="0.25">
      <c r="A365" s="110"/>
      <c r="C365" s="110"/>
      <c r="D365" s="110"/>
      <c r="F365" s="140"/>
      <c r="H365" s="34"/>
      <c r="I365" s="34"/>
      <c r="J365" s="34"/>
      <c r="L365" s="34"/>
      <c r="N365" s="34"/>
      <c r="AB365" s="34"/>
    </row>
    <row r="366" spans="1:28" x14ac:dyDescent="0.25">
      <c r="A366" s="110"/>
      <c r="C366" s="110"/>
      <c r="D366" s="110"/>
      <c r="F366" s="140"/>
      <c r="H366" s="34"/>
      <c r="I366" s="34"/>
      <c r="J366" s="34"/>
      <c r="L366" s="34"/>
      <c r="N366" s="34"/>
      <c r="AB366" s="34"/>
    </row>
    <row r="367" spans="1:28" x14ac:dyDescent="0.25">
      <c r="A367" s="110"/>
      <c r="C367" s="110"/>
      <c r="D367" s="110"/>
      <c r="F367" s="140"/>
      <c r="H367" s="34"/>
      <c r="I367" s="34"/>
      <c r="J367" s="34"/>
      <c r="L367" s="34"/>
      <c r="N367" s="34"/>
      <c r="AB367" s="34"/>
    </row>
    <row r="368" spans="1:28" x14ac:dyDescent="0.25">
      <c r="A368" s="110"/>
      <c r="C368" s="110"/>
      <c r="D368" s="110"/>
      <c r="F368" s="140"/>
      <c r="H368" s="34"/>
      <c r="I368" s="34"/>
      <c r="J368" s="34"/>
      <c r="L368" s="34"/>
      <c r="N368" s="34"/>
      <c r="AB368" s="34"/>
    </row>
    <row r="369" spans="1:28" x14ac:dyDescent="0.25">
      <c r="A369" s="110"/>
      <c r="C369" s="110"/>
      <c r="D369" s="110"/>
      <c r="F369" s="140"/>
      <c r="H369" s="34"/>
      <c r="I369" s="34"/>
      <c r="J369" s="34"/>
      <c r="L369" s="34"/>
      <c r="N369" s="34"/>
      <c r="AB369" s="34"/>
    </row>
    <row r="370" spans="1:28" x14ac:dyDescent="0.25">
      <c r="A370" s="110"/>
      <c r="C370" s="110"/>
      <c r="D370" s="110"/>
      <c r="F370" s="140"/>
      <c r="H370" s="34"/>
      <c r="I370" s="34"/>
      <c r="J370" s="34"/>
      <c r="L370" s="34"/>
      <c r="N370" s="34"/>
      <c r="AB370" s="34"/>
    </row>
    <row r="371" spans="1:28" x14ac:dyDescent="0.25">
      <c r="A371" s="110"/>
      <c r="C371" s="110"/>
      <c r="D371" s="110"/>
      <c r="F371" s="140"/>
      <c r="H371" s="34"/>
      <c r="I371" s="34"/>
      <c r="J371" s="34"/>
      <c r="L371" s="34"/>
      <c r="N371" s="34"/>
      <c r="AB371" s="34"/>
    </row>
    <row r="372" spans="1:28" x14ac:dyDescent="0.25">
      <c r="A372" s="110"/>
      <c r="C372" s="110"/>
      <c r="D372" s="110"/>
      <c r="F372" s="140"/>
      <c r="H372" s="34"/>
      <c r="I372" s="34"/>
      <c r="J372" s="34"/>
      <c r="L372" s="34"/>
      <c r="N372" s="34"/>
      <c r="AB372" s="34"/>
    </row>
    <row r="373" spans="1:28" x14ac:dyDescent="0.25">
      <c r="A373" s="110"/>
      <c r="C373" s="110"/>
      <c r="D373" s="110"/>
      <c r="F373" s="140"/>
      <c r="H373" s="34"/>
      <c r="I373" s="34"/>
      <c r="J373" s="34"/>
      <c r="L373" s="34"/>
      <c r="N373" s="34"/>
      <c r="AB373" s="34"/>
    </row>
    <row r="374" spans="1:28" x14ac:dyDescent="0.25">
      <c r="A374" s="110"/>
      <c r="C374" s="110"/>
      <c r="D374" s="110"/>
      <c r="F374" s="140"/>
      <c r="H374" s="34"/>
      <c r="I374" s="34"/>
      <c r="J374" s="34"/>
      <c r="L374" s="34"/>
      <c r="N374" s="34"/>
      <c r="AB374" s="34"/>
    </row>
    <row r="375" spans="1:28" x14ac:dyDescent="0.25">
      <c r="A375" s="110"/>
      <c r="C375" s="110"/>
      <c r="D375" s="110"/>
      <c r="F375" s="140"/>
      <c r="H375" s="34"/>
      <c r="I375" s="34"/>
      <c r="J375" s="34"/>
      <c r="L375" s="34"/>
      <c r="N375" s="34"/>
      <c r="AB375" s="34"/>
    </row>
    <row r="376" spans="1:28" x14ac:dyDescent="0.25">
      <c r="A376" s="110"/>
      <c r="C376" s="110"/>
      <c r="D376" s="110"/>
      <c r="F376" s="140"/>
      <c r="H376" s="34"/>
      <c r="I376" s="34"/>
      <c r="J376" s="34"/>
      <c r="L376" s="34"/>
      <c r="N376" s="34"/>
      <c r="AB376" s="34"/>
    </row>
    <row r="377" spans="1:28" x14ac:dyDescent="0.25">
      <c r="A377" s="110"/>
      <c r="C377" s="110"/>
      <c r="D377" s="110"/>
      <c r="F377" s="140"/>
      <c r="H377" s="34"/>
      <c r="I377" s="34"/>
      <c r="J377" s="34"/>
      <c r="L377" s="34"/>
      <c r="N377" s="34"/>
      <c r="AB377" s="34"/>
    </row>
    <row r="378" spans="1:28" x14ac:dyDescent="0.25">
      <c r="A378" s="110"/>
      <c r="C378" s="110"/>
      <c r="D378" s="110"/>
      <c r="F378" s="140"/>
      <c r="H378" s="34"/>
      <c r="I378" s="34"/>
      <c r="J378" s="34"/>
      <c r="L378" s="34"/>
      <c r="N378" s="34"/>
      <c r="AB378" s="34"/>
    </row>
    <row r="379" spans="1:28" x14ac:dyDescent="0.25">
      <c r="A379" s="110"/>
      <c r="C379" s="110"/>
      <c r="D379" s="110"/>
      <c r="F379" s="140"/>
      <c r="H379" s="34"/>
      <c r="I379" s="34"/>
      <c r="J379" s="34"/>
      <c r="L379" s="34"/>
      <c r="N379" s="34"/>
      <c r="AB379" s="34"/>
    </row>
    <row r="380" spans="1:28" x14ac:dyDescent="0.25">
      <c r="A380" s="110"/>
      <c r="C380" s="110"/>
      <c r="D380" s="110"/>
      <c r="F380" s="140"/>
      <c r="H380" s="34"/>
      <c r="I380" s="34"/>
      <c r="J380" s="34"/>
      <c r="L380" s="34"/>
      <c r="N380" s="34"/>
      <c r="AB380" s="34"/>
    </row>
    <row r="381" spans="1:28" x14ac:dyDescent="0.25">
      <c r="A381" s="110"/>
      <c r="C381" s="110"/>
      <c r="D381" s="110"/>
      <c r="F381" s="140"/>
      <c r="H381" s="34"/>
      <c r="I381" s="34"/>
      <c r="J381" s="34"/>
      <c r="L381" s="34"/>
      <c r="N381" s="34"/>
      <c r="AB381" s="34"/>
    </row>
    <row r="382" spans="1:28" x14ac:dyDescent="0.25">
      <c r="A382" s="110"/>
      <c r="C382" s="110"/>
      <c r="D382" s="110"/>
      <c r="F382" s="140"/>
      <c r="H382" s="34"/>
      <c r="I382" s="34"/>
      <c r="J382" s="34"/>
      <c r="L382" s="34"/>
      <c r="N382" s="34"/>
      <c r="AB382" s="34"/>
    </row>
    <row r="383" spans="1:28" x14ac:dyDescent="0.25">
      <c r="A383" s="110"/>
      <c r="C383" s="110"/>
      <c r="D383" s="110"/>
      <c r="F383" s="140"/>
      <c r="H383" s="34"/>
      <c r="I383" s="34"/>
      <c r="J383" s="34"/>
      <c r="L383" s="34"/>
      <c r="N383" s="34"/>
      <c r="AB383" s="34"/>
    </row>
    <row r="384" spans="1:28" x14ac:dyDescent="0.25">
      <c r="A384" s="110"/>
      <c r="C384" s="110"/>
      <c r="D384" s="110"/>
      <c r="F384" s="140"/>
      <c r="H384" s="34"/>
      <c r="I384" s="34"/>
      <c r="J384" s="34"/>
      <c r="L384" s="34"/>
      <c r="N384" s="34"/>
      <c r="AB384" s="34"/>
    </row>
    <row r="385" spans="1:28" x14ac:dyDescent="0.25">
      <c r="A385" s="110"/>
      <c r="C385" s="110"/>
      <c r="D385" s="110"/>
      <c r="F385" s="140"/>
      <c r="H385" s="34"/>
      <c r="I385" s="34"/>
      <c r="J385" s="34"/>
      <c r="L385" s="34"/>
      <c r="N385" s="34"/>
      <c r="AB385" s="34"/>
    </row>
    <row r="386" spans="1:28" x14ac:dyDescent="0.25">
      <c r="A386" s="110"/>
      <c r="C386" s="110"/>
      <c r="D386" s="110"/>
      <c r="F386" s="140"/>
      <c r="H386" s="34"/>
      <c r="I386" s="34"/>
      <c r="J386" s="34"/>
      <c r="L386" s="34"/>
      <c r="N386" s="34"/>
      <c r="AB386" s="34"/>
    </row>
    <row r="387" spans="1:28" x14ac:dyDescent="0.25">
      <c r="A387" s="110"/>
      <c r="C387" s="110"/>
      <c r="D387" s="110"/>
      <c r="F387" s="140"/>
      <c r="H387" s="34"/>
      <c r="I387" s="34"/>
      <c r="J387" s="34"/>
      <c r="L387" s="34"/>
      <c r="N387" s="34"/>
      <c r="AB387" s="34"/>
    </row>
    <row r="388" spans="1:28" x14ac:dyDescent="0.25">
      <c r="A388" s="110"/>
      <c r="C388" s="110"/>
      <c r="D388" s="110"/>
      <c r="F388" s="140"/>
      <c r="H388" s="34"/>
      <c r="I388" s="34"/>
      <c r="J388" s="34"/>
      <c r="L388" s="34"/>
      <c r="N388" s="34"/>
      <c r="AB388" s="34"/>
    </row>
    <row r="389" spans="1:28" x14ac:dyDescent="0.25">
      <c r="A389" s="110"/>
      <c r="C389" s="110"/>
      <c r="D389" s="110"/>
      <c r="F389" s="140"/>
      <c r="H389" s="34"/>
      <c r="I389" s="34"/>
      <c r="J389" s="34"/>
      <c r="L389" s="34"/>
      <c r="N389" s="34"/>
      <c r="AB389" s="34"/>
    </row>
    <row r="390" spans="1:28" x14ac:dyDescent="0.25">
      <c r="A390" s="110"/>
      <c r="C390" s="110"/>
      <c r="D390" s="110"/>
      <c r="F390" s="140"/>
      <c r="H390" s="34"/>
      <c r="I390" s="34"/>
      <c r="J390" s="34"/>
      <c r="L390" s="34"/>
      <c r="N390" s="34"/>
      <c r="AB390" s="34"/>
    </row>
    <row r="391" spans="1:28" x14ac:dyDescent="0.25">
      <c r="A391" s="110"/>
      <c r="C391" s="110"/>
      <c r="D391" s="110"/>
      <c r="F391" s="140"/>
      <c r="H391" s="34"/>
      <c r="I391" s="34"/>
      <c r="J391" s="34"/>
      <c r="L391" s="34"/>
      <c r="N391" s="34"/>
      <c r="AB391" s="34"/>
    </row>
    <row r="392" spans="1:28" x14ac:dyDescent="0.25">
      <c r="A392" s="110"/>
      <c r="C392" s="110"/>
      <c r="D392" s="110"/>
      <c r="F392" s="140"/>
      <c r="H392" s="34"/>
      <c r="I392" s="34"/>
      <c r="J392" s="34"/>
      <c r="L392" s="34"/>
      <c r="N392" s="34"/>
      <c r="AB392" s="34"/>
    </row>
    <row r="393" spans="1:28" x14ac:dyDescent="0.25">
      <c r="A393" s="110"/>
      <c r="C393" s="110"/>
      <c r="D393" s="110"/>
      <c r="F393" s="140"/>
      <c r="H393" s="34"/>
      <c r="I393" s="34"/>
      <c r="J393" s="34"/>
      <c r="L393" s="34"/>
      <c r="N393" s="34"/>
      <c r="AB393" s="34"/>
    </row>
    <row r="394" spans="1:28" x14ac:dyDescent="0.25">
      <c r="A394" s="110"/>
      <c r="C394" s="110"/>
      <c r="D394" s="110"/>
      <c r="F394" s="140"/>
      <c r="H394" s="34"/>
      <c r="I394" s="34"/>
      <c r="J394" s="34"/>
      <c r="L394" s="34"/>
      <c r="N394" s="34"/>
      <c r="AB394" s="34"/>
    </row>
    <row r="395" spans="1:28" x14ac:dyDescent="0.25">
      <c r="A395" s="110"/>
      <c r="C395" s="110"/>
      <c r="D395" s="110"/>
      <c r="F395" s="140"/>
      <c r="H395" s="34"/>
      <c r="I395" s="34"/>
      <c r="J395" s="34"/>
      <c r="L395" s="34"/>
      <c r="N395" s="34"/>
      <c r="AB395" s="34"/>
    </row>
    <row r="396" spans="1:28" x14ac:dyDescent="0.25">
      <c r="A396" s="110"/>
      <c r="C396" s="110"/>
      <c r="D396" s="110"/>
      <c r="F396" s="140"/>
      <c r="H396" s="34"/>
      <c r="I396" s="34"/>
      <c r="J396" s="34"/>
      <c r="L396" s="34"/>
      <c r="N396" s="34"/>
      <c r="AB396" s="34"/>
    </row>
    <row r="397" spans="1:28" x14ac:dyDescent="0.25">
      <c r="A397" s="110"/>
      <c r="C397" s="110"/>
      <c r="D397" s="110"/>
      <c r="F397" s="140"/>
      <c r="H397" s="34"/>
      <c r="I397" s="34"/>
      <c r="J397" s="34"/>
      <c r="L397" s="34"/>
      <c r="N397" s="34"/>
      <c r="AB397" s="34"/>
    </row>
    <row r="398" spans="1:28" x14ac:dyDescent="0.25">
      <c r="A398" s="110"/>
      <c r="C398" s="110"/>
      <c r="D398" s="110"/>
      <c r="F398" s="140"/>
      <c r="H398" s="34"/>
      <c r="I398" s="34"/>
      <c r="J398" s="34"/>
      <c r="L398" s="34"/>
      <c r="N398" s="34"/>
      <c r="AB398" s="34"/>
    </row>
    <row r="399" spans="1:28" x14ac:dyDescent="0.25">
      <c r="A399" s="110"/>
      <c r="C399" s="110"/>
      <c r="D399" s="110"/>
      <c r="F399" s="140"/>
      <c r="H399" s="34"/>
      <c r="I399" s="34"/>
      <c r="J399" s="34"/>
      <c r="L399" s="34"/>
      <c r="N399" s="34"/>
      <c r="AB399" s="34"/>
    </row>
    <row r="400" spans="1:28" x14ac:dyDescent="0.25">
      <c r="A400" s="110"/>
      <c r="C400" s="110"/>
      <c r="D400" s="110"/>
      <c r="F400" s="140"/>
      <c r="H400" s="34"/>
      <c r="I400" s="34"/>
      <c r="J400" s="34"/>
      <c r="L400" s="34"/>
      <c r="N400" s="34"/>
      <c r="AB400" s="34"/>
    </row>
    <row r="401" spans="1:28" x14ac:dyDescent="0.25">
      <c r="A401" s="110"/>
      <c r="C401" s="110"/>
      <c r="D401" s="110"/>
      <c r="F401" s="140"/>
      <c r="H401" s="34"/>
      <c r="I401" s="34"/>
      <c r="J401" s="34"/>
      <c r="L401" s="34"/>
      <c r="N401" s="34"/>
      <c r="AB401" s="34"/>
    </row>
    <row r="402" spans="1:28" x14ac:dyDescent="0.25">
      <c r="A402" s="110"/>
      <c r="C402" s="110"/>
      <c r="D402" s="110"/>
      <c r="F402" s="140"/>
      <c r="H402" s="34"/>
      <c r="I402" s="34"/>
      <c r="J402" s="34"/>
      <c r="L402" s="34"/>
      <c r="N402" s="34"/>
      <c r="AB402" s="34"/>
    </row>
    <row r="403" spans="1:28" x14ac:dyDescent="0.25">
      <c r="A403" s="110"/>
      <c r="C403" s="110"/>
      <c r="D403" s="110"/>
      <c r="F403" s="140"/>
      <c r="H403" s="34"/>
      <c r="I403" s="34"/>
      <c r="J403" s="34"/>
      <c r="L403" s="34"/>
      <c r="N403" s="34"/>
      <c r="AB403" s="34"/>
    </row>
    <row r="404" spans="1:28" x14ac:dyDescent="0.25">
      <c r="A404" s="110"/>
      <c r="C404" s="110"/>
      <c r="D404" s="110"/>
      <c r="F404" s="140"/>
      <c r="H404" s="34"/>
      <c r="I404" s="34"/>
      <c r="J404" s="34"/>
      <c r="L404" s="34"/>
      <c r="N404" s="34"/>
      <c r="AB404" s="34"/>
    </row>
    <row r="405" spans="1:28" x14ac:dyDescent="0.25">
      <c r="A405" s="110"/>
      <c r="C405" s="110"/>
      <c r="D405" s="110"/>
      <c r="F405" s="140"/>
      <c r="H405" s="34"/>
      <c r="I405" s="34"/>
      <c r="J405" s="34"/>
      <c r="L405" s="34"/>
      <c r="N405" s="34"/>
      <c r="AB405" s="34"/>
    </row>
    <row r="406" spans="1:28" x14ac:dyDescent="0.25">
      <c r="A406" s="110"/>
      <c r="C406" s="110"/>
      <c r="D406" s="110"/>
      <c r="F406" s="140"/>
      <c r="H406" s="34"/>
      <c r="I406" s="34"/>
      <c r="J406" s="34"/>
      <c r="L406" s="34"/>
      <c r="N406" s="34"/>
      <c r="AB406" s="34"/>
    </row>
    <row r="407" spans="1:28" x14ac:dyDescent="0.25">
      <c r="A407" s="110"/>
      <c r="C407" s="110"/>
      <c r="D407" s="110"/>
      <c r="F407" s="140"/>
      <c r="H407" s="34"/>
      <c r="I407" s="34"/>
      <c r="J407" s="34"/>
      <c r="L407" s="34"/>
      <c r="N407" s="34"/>
      <c r="AB407" s="34"/>
    </row>
    <row r="408" spans="1:28" x14ac:dyDescent="0.25">
      <c r="A408" s="110"/>
      <c r="C408" s="110"/>
      <c r="D408" s="110"/>
      <c r="F408" s="140"/>
      <c r="H408" s="34"/>
      <c r="I408" s="34"/>
      <c r="J408" s="34"/>
      <c r="L408" s="34"/>
      <c r="N408" s="34"/>
      <c r="AB408" s="34"/>
    </row>
    <row r="409" spans="1:28" x14ac:dyDescent="0.25">
      <c r="A409" s="110"/>
      <c r="C409" s="110"/>
      <c r="D409" s="110"/>
      <c r="F409" s="140"/>
      <c r="H409" s="34"/>
      <c r="I409" s="34"/>
      <c r="J409" s="34"/>
      <c r="L409" s="34"/>
      <c r="N409" s="34"/>
      <c r="AB409" s="34"/>
    </row>
    <row r="410" spans="1:28" x14ac:dyDescent="0.25">
      <c r="A410" s="110"/>
      <c r="C410" s="110"/>
      <c r="D410" s="110"/>
      <c r="F410" s="140"/>
      <c r="H410" s="34"/>
      <c r="I410" s="34"/>
      <c r="J410" s="34"/>
      <c r="L410" s="34"/>
      <c r="N410" s="34"/>
      <c r="AB410" s="34"/>
    </row>
    <row r="411" spans="1:28" x14ac:dyDescent="0.25">
      <c r="A411" s="110"/>
      <c r="C411" s="110"/>
      <c r="D411" s="110"/>
      <c r="F411" s="140"/>
      <c r="H411" s="34"/>
      <c r="I411" s="34"/>
      <c r="J411" s="34"/>
      <c r="L411" s="34"/>
      <c r="N411" s="34"/>
      <c r="AB411" s="34"/>
    </row>
    <row r="412" spans="1:28" x14ac:dyDescent="0.25">
      <c r="A412" s="110"/>
      <c r="C412" s="110"/>
      <c r="D412" s="110"/>
      <c r="F412" s="140"/>
      <c r="H412" s="34"/>
      <c r="I412" s="34"/>
      <c r="J412" s="34"/>
      <c r="L412" s="34"/>
      <c r="N412" s="34"/>
      <c r="AB412" s="34"/>
    </row>
    <row r="413" spans="1:28" x14ac:dyDescent="0.25">
      <c r="A413" s="110"/>
      <c r="C413" s="110"/>
      <c r="D413" s="110"/>
      <c r="F413" s="140"/>
      <c r="H413" s="34"/>
      <c r="I413" s="34"/>
      <c r="J413" s="34"/>
      <c r="L413" s="34"/>
      <c r="N413" s="34"/>
      <c r="AB413" s="34"/>
    </row>
    <row r="414" spans="1:28" x14ac:dyDescent="0.25">
      <c r="A414" s="110"/>
      <c r="C414" s="110"/>
      <c r="D414" s="110"/>
      <c r="F414" s="140"/>
      <c r="H414" s="34"/>
      <c r="I414" s="34"/>
      <c r="J414" s="34"/>
      <c r="L414" s="34"/>
      <c r="N414" s="34"/>
      <c r="AB414" s="34"/>
    </row>
    <row r="415" spans="1:28" x14ac:dyDescent="0.25">
      <c r="A415" s="110"/>
      <c r="C415" s="110"/>
      <c r="D415" s="110"/>
      <c r="F415" s="140"/>
      <c r="H415" s="34"/>
      <c r="I415" s="34"/>
      <c r="J415" s="34"/>
      <c r="L415" s="34"/>
      <c r="N415" s="34"/>
      <c r="AB415" s="34"/>
    </row>
    <row r="416" spans="1:28" x14ac:dyDescent="0.25">
      <c r="A416" s="110"/>
      <c r="C416" s="110"/>
      <c r="D416" s="110"/>
      <c r="F416" s="140"/>
      <c r="H416" s="34"/>
      <c r="I416" s="34"/>
      <c r="J416" s="34"/>
      <c r="L416" s="34"/>
      <c r="N416" s="34"/>
      <c r="AB416" s="34"/>
    </row>
    <row r="417" spans="1:28" x14ac:dyDescent="0.25">
      <c r="A417" s="110"/>
      <c r="C417" s="110"/>
      <c r="D417" s="110"/>
      <c r="F417" s="140"/>
      <c r="H417" s="34"/>
      <c r="I417" s="34"/>
      <c r="J417" s="34"/>
      <c r="L417" s="34"/>
      <c r="N417" s="34"/>
      <c r="AB417" s="34"/>
    </row>
    <row r="418" spans="1:28" x14ac:dyDescent="0.25">
      <c r="A418" s="110"/>
      <c r="C418" s="110"/>
      <c r="D418" s="110"/>
      <c r="F418" s="140"/>
      <c r="H418" s="34"/>
      <c r="I418" s="34"/>
      <c r="J418" s="34"/>
      <c r="L418" s="34"/>
      <c r="N418" s="34"/>
      <c r="AB418" s="34"/>
    </row>
    <row r="419" spans="1:28" x14ac:dyDescent="0.25">
      <c r="A419" s="110"/>
      <c r="C419" s="110"/>
      <c r="D419" s="110"/>
      <c r="F419" s="140"/>
      <c r="H419" s="34"/>
      <c r="I419" s="34"/>
      <c r="J419" s="34"/>
      <c r="L419" s="34"/>
      <c r="N419" s="34"/>
      <c r="AB419" s="34"/>
    </row>
    <row r="420" spans="1:28" x14ac:dyDescent="0.25">
      <c r="A420" s="110"/>
      <c r="C420" s="110"/>
      <c r="D420" s="110"/>
      <c r="F420" s="140"/>
      <c r="H420" s="34"/>
      <c r="I420" s="34"/>
      <c r="J420" s="34"/>
      <c r="L420" s="34"/>
      <c r="N420" s="34"/>
      <c r="AB420" s="34"/>
    </row>
    <row r="421" spans="1:28" x14ac:dyDescent="0.25">
      <c r="A421" s="110"/>
      <c r="C421" s="110"/>
      <c r="D421" s="110"/>
      <c r="F421" s="140"/>
      <c r="H421" s="34"/>
      <c r="I421" s="34"/>
      <c r="J421" s="34"/>
      <c r="L421" s="34"/>
      <c r="N421" s="34"/>
      <c r="AB421" s="34"/>
    </row>
    <row r="422" spans="1:28" x14ac:dyDescent="0.25">
      <c r="A422" s="110"/>
      <c r="C422" s="110"/>
      <c r="D422" s="110"/>
      <c r="F422" s="140"/>
      <c r="H422" s="34"/>
      <c r="I422" s="34"/>
      <c r="J422" s="34"/>
      <c r="L422" s="34"/>
      <c r="N422" s="34"/>
      <c r="AB422" s="34"/>
    </row>
    <row r="423" spans="1:28" x14ac:dyDescent="0.25">
      <c r="A423" s="110"/>
      <c r="C423" s="110"/>
      <c r="D423" s="110"/>
      <c r="F423" s="140"/>
      <c r="H423" s="34"/>
      <c r="I423" s="34"/>
      <c r="J423" s="34"/>
      <c r="L423" s="34"/>
      <c r="N423" s="34"/>
      <c r="AB423" s="34"/>
    </row>
    <row r="424" spans="1:28" x14ac:dyDescent="0.25">
      <c r="A424" s="110"/>
      <c r="C424" s="110"/>
      <c r="D424" s="110"/>
      <c r="F424" s="140"/>
      <c r="H424" s="34"/>
      <c r="I424" s="34"/>
      <c r="J424" s="34"/>
      <c r="L424" s="34"/>
      <c r="N424" s="34"/>
      <c r="AB424" s="34"/>
    </row>
    <row r="425" spans="1:28" x14ac:dyDescent="0.25">
      <c r="A425" s="110"/>
      <c r="C425" s="110"/>
      <c r="D425" s="110"/>
      <c r="F425" s="140"/>
      <c r="H425" s="34"/>
      <c r="I425" s="34"/>
      <c r="J425" s="34"/>
      <c r="L425" s="34"/>
      <c r="N425" s="34"/>
      <c r="AB425" s="34"/>
    </row>
    <row r="426" spans="1:28" x14ac:dyDescent="0.25">
      <c r="A426" s="110"/>
      <c r="C426" s="110"/>
      <c r="D426" s="110"/>
      <c r="F426" s="140"/>
      <c r="H426" s="34"/>
      <c r="I426" s="34"/>
      <c r="J426" s="34"/>
      <c r="L426" s="34"/>
      <c r="N426" s="34"/>
      <c r="AB426" s="34"/>
    </row>
    <row r="427" spans="1:28" x14ac:dyDescent="0.25">
      <c r="A427" s="110"/>
      <c r="C427" s="110"/>
      <c r="D427" s="110"/>
      <c r="F427" s="140"/>
      <c r="H427" s="34"/>
      <c r="I427" s="34"/>
      <c r="J427" s="34"/>
      <c r="L427" s="34"/>
      <c r="N427" s="34"/>
      <c r="AB427" s="34"/>
    </row>
    <row r="428" spans="1:28" x14ac:dyDescent="0.25">
      <c r="A428" s="110"/>
      <c r="C428" s="110"/>
      <c r="D428" s="110"/>
      <c r="F428" s="140"/>
      <c r="H428" s="34"/>
      <c r="I428" s="34"/>
      <c r="J428" s="34"/>
      <c r="L428" s="34"/>
      <c r="N428" s="34"/>
      <c r="AB428" s="34"/>
    </row>
    <row r="429" spans="1:28" x14ac:dyDescent="0.25">
      <c r="A429" s="110"/>
      <c r="C429" s="110"/>
      <c r="D429" s="110"/>
      <c r="F429" s="140"/>
      <c r="H429" s="34"/>
      <c r="I429" s="34"/>
      <c r="J429" s="34"/>
      <c r="L429" s="34"/>
      <c r="N429" s="34"/>
      <c r="AB429" s="34"/>
    </row>
    <row r="430" spans="1:28" x14ac:dyDescent="0.25">
      <c r="A430" s="110"/>
      <c r="C430" s="110"/>
      <c r="D430" s="110"/>
      <c r="F430" s="140"/>
      <c r="H430" s="34"/>
      <c r="I430" s="34"/>
      <c r="J430" s="34"/>
      <c r="L430" s="34"/>
      <c r="N430" s="34"/>
      <c r="AB430" s="34"/>
    </row>
    <row r="431" spans="1:28" x14ac:dyDescent="0.25">
      <c r="A431" s="110"/>
      <c r="C431" s="110"/>
      <c r="D431" s="110"/>
      <c r="F431" s="140"/>
      <c r="H431" s="34"/>
      <c r="I431" s="34"/>
      <c r="J431" s="34"/>
      <c r="L431" s="34"/>
      <c r="N431" s="34"/>
      <c r="AB431" s="34"/>
    </row>
    <row r="432" spans="1:28" x14ac:dyDescent="0.25">
      <c r="A432" s="110"/>
      <c r="C432" s="110"/>
      <c r="D432" s="110"/>
      <c r="F432" s="140"/>
      <c r="H432" s="34"/>
      <c r="I432" s="34"/>
      <c r="J432" s="34"/>
      <c r="L432" s="34"/>
      <c r="N432" s="34"/>
      <c r="AB432" s="34"/>
    </row>
    <row r="433" spans="1:28" x14ac:dyDescent="0.25">
      <c r="A433" s="110"/>
      <c r="C433" s="110"/>
      <c r="D433" s="110"/>
      <c r="F433" s="140"/>
      <c r="H433" s="34"/>
      <c r="I433" s="34"/>
      <c r="J433" s="34"/>
      <c r="L433" s="34"/>
      <c r="N433" s="34"/>
      <c r="AB433" s="34"/>
    </row>
    <row r="434" spans="1:28" x14ac:dyDescent="0.25">
      <c r="A434" s="110"/>
      <c r="C434" s="110"/>
      <c r="D434" s="110"/>
      <c r="F434" s="140"/>
      <c r="H434" s="34"/>
      <c r="I434" s="34"/>
      <c r="J434" s="34"/>
      <c r="L434" s="34"/>
      <c r="N434" s="34"/>
      <c r="AB434" s="34"/>
    </row>
    <row r="435" spans="1:28" x14ac:dyDescent="0.25">
      <c r="A435" s="110"/>
      <c r="C435" s="110"/>
      <c r="D435" s="110"/>
      <c r="F435" s="140"/>
      <c r="H435" s="34"/>
      <c r="I435" s="34"/>
      <c r="J435" s="34"/>
      <c r="L435" s="34"/>
      <c r="N435" s="34"/>
      <c r="AB435" s="34"/>
    </row>
    <row r="436" spans="1:28" x14ac:dyDescent="0.25">
      <c r="A436" s="110"/>
      <c r="C436" s="110"/>
      <c r="D436" s="110"/>
      <c r="F436" s="140"/>
      <c r="H436" s="34"/>
      <c r="I436" s="34"/>
      <c r="J436" s="34"/>
      <c r="L436" s="34"/>
      <c r="N436" s="34"/>
      <c r="AB436" s="34"/>
    </row>
    <row r="437" spans="1:28" x14ac:dyDescent="0.25">
      <c r="A437" s="110"/>
      <c r="C437" s="110"/>
      <c r="D437" s="110"/>
      <c r="F437" s="140"/>
      <c r="H437" s="34"/>
      <c r="I437" s="34"/>
      <c r="J437" s="34"/>
      <c r="L437" s="34"/>
      <c r="N437" s="34"/>
      <c r="AB437" s="34"/>
    </row>
    <row r="438" spans="1:28" x14ac:dyDescent="0.25">
      <c r="A438" s="110"/>
      <c r="C438" s="110"/>
      <c r="D438" s="110"/>
      <c r="F438" s="140"/>
      <c r="H438" s="34"/>
      <c r="I438" s="34"/>
      <c r="J438" s="34"/>
      <c r="L438" s="34"/>
      <c r="N438" s="34"/>
      <c r="AB438" s="34"/>
    </row>
    <row r="439" spans="1:28" x14ac:dyDescent="0.25">
      <c r="A439" s="110"/>
      <c r="C439" s="110"/>
      <c r="D439" s="110"/>
      <c r="F439" s="140"/>
      <c r="H439" s="34"/>
      <c r="I439" s="34"/>
      <c r="J439" s="34"/>
      <c r="L439" s="34"/>
      <c r="N439" s="34"/>
      <c r="AB439" s="34"/>
    </row>
    <row r="440" spans="1:28" x14ac:dyDescent="0.25">
      <c r="A440" s="110"/>
      <c r="C440" s="110"/>
      <c r="D440" s="110"/>
      <c r="F440" s="140"/>
      <c r="H440" s="34"/>
      <c r="I440" s="34"/>
      <c r="J440" s="34"/>
      <c r="L440" s="34"/>
      <c r="N440" s="34"/>
      <c r="AB440" s="34"/>
    </row>
    <row r="441" spans="1:28" x14ac:dyDescent="0.25">
      <c r="A441" s="110"/>
      <c r="C441" s="110"/>
      <c r="D441" s="110"/>
      <c r="F441" s="140"/>
      <c r="H441" s="34"/>
      <c r="I441" s="34"/>
      <c r="J441" s="34"/>
      <c r="L441" s="34"/>
      <c r="N441" s="34"/>
      <c r="AB441" s="34"/>
    </row>
    <row r="442" spans="1:28" x14ac:dyDescent="0.25">
      <c r="A442" s="110"/>
      <c r="C442" s="110"/>
      <c r="D442" s="110"/>
      <c r="F442" s="140"/>
      <c r="H442" s="34"/>
      <c r="I442" s="34"/>
      <c r="J442" s="34"/>
      <c r="L442" s="34"/>
      <c r="N442" s="34"/>
      <c r="AB442" s="34"/>
    </row>
    <row r="443" spans="1:28" x14ac:dyDescent="0.25">
      <c r="A443" s="110"/>
      <c r="C443" s="110"/>
      <c r="D443" s="110"/>
      <c r="F443" s="140"/>
      <c r="H443" s="34"/>
      <c r="I443" s="34"/>
      <c r="J443" s="34"/>
      <c r="L443" s="34"/>
      <c r="N443" s="34"/>
      <c r="AB443" s="34"/>
    </row>
    <row r="444" spans="1:28" x14ac:dyDescent="0.25">
      <c r="A444" s="110"/>
      <c r="C444" s="110"/>
      <c r="D444" s="110"/>
      <c r="F444" s="140"/>
      <c r="H444" s="34"/>
      <c r="I444" s="34"/>
      <c r="J444" s="34"/>
      <c r="L444" s="34"/>
      <c r="N444" s="34"/>
      <c r="AB444" s="34"/>
    </row>
    <row r="445" spans="1:28" x14ac:dyDescent="0.25">
      <c r="A445" s="110"/>
      <c r="C445" s="110"/>
      <c r="D445" s="110"/>
      <c r="F445" s="140"/>
      <c r="H445" s="34"/>
      <c r="I445" s="34"/>
      <c r="J445" s="34"/>
      <c r="L445" s="34"/>
      <c r="N445" s="34"/>
      <c r="AB445" s="34"/>
    </row>
    <row r="446" spans="1:28" x14ac:dyDescent="0.25">
      <c r="A446" s="110"/>
      <c r="C446" s="110"/>
      <c r="D446" s="110"/>
      <c r="F446" s="140"/>
      <c r="H446" s="34"/>
      <c r="I446" s="34"/>
      <c r="J446" s="34"/>
      <c r="L446" s="34"/>
      <c r="N446" s="34"/>
      <c r="AB446" s="34"/>
    </row>
    <row r="447" spans="1:28" x14ac:dyDescent="0.25">
      <c r="A447" s="110"/>
      <c r="C447" s="110"/>
      <c r="D447" s="110"/>
      <c r="F447" s="140"/>
      <c r="H447" s="34"/>
      <c r="I447" s="34"/>
      <c r="J447" s="34"/>
      <c r="L447" s="34"/>
      <c r="N447" s="34"/>
      <c r="AB447" s="34"/>
    </row>
    <row r="448" spans="1:28" x14ac:dyDescent="0.25">
      <c r="A448" s="110"/>
      <c r="C448" s="110"/>
      <c r="D448" s="110"/>
      <c r="F448" s="140"/>
      <c r="H448" s="34"/>
      <c r="I448" s="34"/>
      <c r="J448" s="34"/>
      <c r="L448" s="34"/>
      <c r="N448" s="34"/>
      <c r="AB448" s="34"/>
    </row>
    <row r="449" spans="1:28" x14ac:dyDescent="0.25">
      <c r="A449" s="110"/>
      <c r="C449" s="110"/>
      <c r="D449" s="110"/>
      <c r="F449" s="140"/>
      <c r="H449" s="34"/>
      <c r="I449" s="34"/>
      <c r="J449" s="34"/>
      <c r="L449" s="34"/>
      <c r="N449" s="34"/>
      <c r="AB449" s="34"/>
    </row>
    <row r="450" spans="1:28" x14ac:dyDescent="0.25">
      <c r="A450" s="110"/>
      <c r="C450" s="110"/>
      <c r="D450" s="110"/>
      <c r="F450" s="140"/>
      <c r="H450" s="34"/>
      <c r="I450" s="34"/>
      <c r="J450" s="34"/>
      <c r="L450" s="34"/>
      <c r="N450" s="34"/>
      <c r="AB450" s="34"/>
    </row>
    <row r="451" spans="1:28" x14ac:dyDescent="0.25">
      <c r="A451" s="110"/>
      <c r="C451" s="110"/>
      <c r="D451" s="110"/>
      <c r="F451" s="140"/>
      <c r="H451" s="34"/>
      <c r="I451" s="34"/>
      <c r="J451" s="34"/>
      <c r="L451" s="34"/>
      <c r="N451" s="34"/>
      <c r="AB451" s="34"/>
    </row>
    <row r="452" spans="1:28" x14ac:dyDescent="0.25">
      <c r="A452" s="110"/>
      <c r="C452" s="110"/>
      <c r="D452" s="110"/>
      <c r="F452" s="140"/>
      <c r="H452" s="34"/>
      <c r="I452" s="34"/>
      <c r="J452" s="34"/>
      <c r="L452" s="34"/>
      <c r="N452" s="34"/>
      <c r="AB452" s="34"/>
    </row>
    <row r="453" spans="1:28" x14ac:dyDescent="0.25">
      <c r="A453" s="110"/>
      <c r="C453" s="110"/>
      <c r="D453" s="110"/>
      <c r="F453" s="140"/>
      <c r="H453" s="34"/>
      <c r="I453" s="34"/>
      <c r="J453" s="34"/>
      <c r="L453" s="34"/>
      <c r="N453" s="34"/>
      <c r="AB453" s="34"/>
    </row>
    <row r="454" spans="1:28" x14ac:dyDescent="0.25">
      <c r="A454" s="110"/>
      <c r="C454" s="110"/>
      <c r="D454" s="110"/>
      <c r="F454" s="140"/>
      <c r="H454" s="34"/>
      <c r="I454" s="34"/>
      <c r="J454" s="34"/>
      <c r="L454" s="34"/>
      <c r="N454" s="34"/>
      <c r="AB454" s="34"/>
    </row>
    <row r="455" spans="1:28" x14ac:dyDescent="0.25">
      <c r="A455" s="110"/>
      <c r="C455" s="110"/>
      <c r="D455" s="110"/>
      <c r="F455" s="140"/>
      <c r="H455" s="34"/>
      <c r="I455" s="34"/>
      <c r="J455" s="34"/>
      <c r="L455" s="34"/>
      <c r="N455" s="34"/>
      <c r="AB455" s="34"/>
    </row>
    <row r="456" spans="1:28" x14ac:dyDescent="0.25">
      <c r="A456" s="110"/>
      <c r="C456" s="110"/>
      <c r="D456" s="110"/>
      <c r="F456" s="140"/>
      <c r="H456" s="34"/>
      <c r="I456" s="34"/>
      <c r="J456" s="34"/>
      <c r="L456" s="34"/>
      <c r="N456" s="34"/>
      <c r="AB456" s="34"/>
    </row>
    <row r="457" spans="1:28" x14ac:dyDescent="0.25">
      <c r="A457" s="110"/>
      <c r="C457" s="110"/>
      <c r="D457" s="110"/>
      <c r="F457" s="140"/>
      <c r="H457" s="34"/>
      <c r="I457" s="34"/>
      <c r="J457" s="34"/>
      <c r="L457" s="34"/>
      <c r="N457" s="34"/>
      <c r="AB457" s="34"/>
    </row>
    <row r="458" spans="1:28" x14ac:dyDescent="0.25">
      <c r="A458" s="110"/>
      <c r="C458" s="110"/>
      <c r="D458" s="110"/>
      <c r="F458" s="140"/>
      <c r="H458" s="34"/>
      <c r="I458" s="34"/>
      <c r="J458" s="34"/>
      <c r="L458" s="34"/>
      <c r="N458" s="34"/>
      <c r="AB458" s="34"/>
    </row>
    <row r="459" spans="1:28" x14ac:dyDescent="0.25">
      <c r="A459" s="110"/>
      <c r="C459" s="110"/>
      <c r="D459" s="110"/>
      <c r="F459" s="140"/>
      <c r="H459" s="34"/>
      <c r="I459" s="34"/>
      <c r="J459" s="34"/>
      <c r="L459" s="34"/>
      <c r="N459" s="34"/>
      <c r="AB459" s="34"/>
    </row>
    <row r="460" spans="1:28" x14ac:dyDescent="0.25">
      <c r="A460" s="110"/>
      <c r="C460" s="110"/>
      <c r="D460" s="110"/>
      <c r="F460" s="140"/>
      <c r="H460" s="34"/>
      <c r="I460" s="34"/>
      <c r="J460" s="34"/>
      <c r="L460" s="34"/>
      <c r="N460" s="34"/>
      <c r="AB460" s="34"/>
    </row>
    <row r="461" spans="1:28" x14ac:dyDescent="0.25">
      <c r="A461" s="110"/>
      <c r="C461" s="110"/>
      <c r="D461" s="110"/>
      <c r="F461" s="140"/>
      <c r="H461" s="34"/>
      <c r="I461" s="34"/>
      <c r="J461" s="34"/>
      <c r="L461" s="34"/>
      <c r="N461" s="34"/>
      <c r="AB461" s="34"/>
    </row>
    <row r="462" spans="1:28" x14ac:dyDescent="0.25">
      <c r="A462" s="110"/>
      <c r="C462" s="110"/>
      <c r="D462" s="110"/>
      <c r="F462" s="140"/>
      <c r="H462" s="34"/>
      <c r="I462" s="34"/>
      <c r="J462" s="34"/>
      <c r="L462" s="34"/>
      <c r="N462" s="34"/>
      <c r="AB462" s="34"/>
    </row>
    <row r="463" spans="1:28" x14ac:dyDescent="0.25">
      <c r="A463" s="110"/>
      <c r="C463" s="110"/>
      <c r="D463" s="110"/>
      <c r="F463" s="140"/>
      <c r="H463" s="34"/>
      <c r="I463" s="34"/>
      <c r="J463" s="34"/>
      <c r="L463" s="34"/>
      <c r="N463" s="34"/>
      <c r="AB463" s="34"/>
    </row>
    <row r="464" spans="1:28" x14ac:dyDescent="0.25">
      <c r="A464" s="110"/>
      <c r="C464" s="110"/>
      <c r="D464" s="110"/>
      <c r="F464" s="140"/>
      <c r="H464" s="34"/>
      <c r="I464" s="34"/>
      <c r="J464" s="34"/>
      <c r="L464" s="34"/>
      <c r="N464" s="34"/>
      <c r="AB464" s="34"/>
    </row>
    <row r="465" spans="1:28" x14ac:dyDescent="0.25">
      <c r="A465" s="110"/>
      <c r="C465" s="110"/>
      <c r="D465" s="110"/>
      <c r="F465" s="140"/>
      <c r="H465" s="34"/>
      <c r="I465" s="34"/>
      <c r="J465" s="34"/>
      <c r="L465" s="34"/>
      <c r="N465" s="34"/>
      <c r="AB465" s="34"/>
    </row>
    <row r="466" spans="1:28" x14ac:dyDescent="0.25">
      <c r="A466" s="110"/>
      <c r="C466" s="110"/>
      <c r="D466" s="110"/>
      <c r="F466" s="140"/>
      <c r="H466" s="34"/>
      <c r="I466" s="34"/>
      <c r="J466" s="34"/>
      <c r="L466" s="34"/>
      <c r="N466" s="34"/>
      <c r="AB466" s="34"/>
    </row>
    <row r="467" spans="1:28" x14ac:dyDescent="0.25">
      <c r="A467" s="110"/>
      <c r="C467" s="110"/>
      <c r="D467" s="110"/>
      <c r="F467" s="140"/>
      <c r="H467" s="34"/>
      <c r="I467" s="34"/>
      <c r="J467" s="34"/>
      <c r="L467" s="34"/>
      <c r="N467" s="34"/>
      <c r="AB467" s="34"/>
    </row>
    <row r="468" spans="1:28" x14ac:dyDescent="0.25">
      <c r="A468" s="110"/>
      <c r="C468" s="110"/>
      <c r="D468" s="110"/>
      <c r="F468" s="140"/>
      <c r="H468" s="34"/>
      <c r="I468" s="34"/>
      <c r="J468" s="34"/>
      <c r="L468" s="34"/>
      <c r="N468" s="34"/>
      <c r="AB468" s="34"/>
    </row>
    <row r="469" spans="1:28" x14ac:dyDescent="0.25">
      <c r="A469" s="110"/>
      <c r="C469" s="110"/>
      <c r="D469" s="110"/>
      <c r="F469" s="140"/>
      <c r="H469" s="34"/>
      <c r="I469" s="34"/>
      <c r="J469" s="34"/>
      <c r="L469" s="34"/>
      <c r="N469" s="34"/>
      <c r="AB469" s="34"/>
    </row>
    <row r="470" spans="1:28" x14ac:dyDescent="0.25">
      <c r="A470" s="110"/>
      <c r="C470" s="110"/>
      <c r="D470" s="110"/>
      <c r="F470" s="140"/>
      <c r="H470" s="34"/>
      <c r="I470" s="34"/>
      <c r="J470" s="34"/>
      <c r="L470" s="34"/>
      <c r="N470" s="34"/>
      <c r="AB470" s="34"/>
    </row>
    <row r="471" spans="1:28" x14ac:dyDescent="0.25">
      <c r="A471" s="110"/>
      <c r="C471" s="110"/>
      <c r="D471" s="110"/>
      <c r="F471" s="140"/>
      <c r="H471" s="34"/>
      <c r="I471" s="34"/>
      <c r="J471" s="34"/>
      <c r="L471" s="34"/>
      <c r="N471" s="34"/>
      <c r="AB471" s="34"/>
    </row>
    <row r="472" spans="1:28" x14ac:dyDescent="0.25">
      <c r="A472" s="110"/>
      <c r="C472" s="110"/>
      <c r="D472" s="110"/>
      <c r="F472" s="140"/>
      <c r="H472" s="34"/>
      <c r="I472" s="34"/>
      <c r="J472" s="34"/>
      <c r="L472" s="34"/>
      <c r="N472" s="34"/>
      <c r="AB472" s="34"/>
    </row>
    <row r="473" spans="1:28" x14ac:dyDescent="0.25">
      <c r="A473" s="110"/>
      <c r="C473" s="110"/>
      <c r="D473" s="110"/>
      <c r="F473" s="140"/>
      <c r="H473" s="34"/>
      <c r="I473" s="34"/>
      <c r="J473" s="34"/>
      <c r="L473" s="34"/>
      <c r="N473" s="34"/>
      <c r="AB473" s="34"/>
    </row>
    <row r="474" spans="1:28" x14ac:dyDescent="0.25">
      <c r="A474" s="110"/>
      <c r="C474" s="110"/>
      <c r="D474" s="110"/>
      <c r="F474" s="140"/>
      <c r="H474" s="34"/>
      <c r="I474" s="34"/>
      <c r="J474" s="34"/>
      <c r="L474" s="34"/>
      <c r="N474" s="34"/>
      <c r="AB474" s="34"/>
    </row>
    <row r="475" spans="1:28" x14ac:dyDescent="0.25">
      <c r="A475" s="110"/>
      <c r="C475" s="110"/>
      <c r="D475" s="110"/>
      <c r="F475" s="140"/>
      <c r="H475" s="34"/>
      <c r="I475" s="34"/>
      <c r="J475" s="34"/>
      <c r="L475" s="34"/>
      <c r="N475" s="34"/>
      <c r="AB475" s="34"/>
    </row>
    <row r="476" spans="1:28" x14ac:dyDescent="0.25">
      <c r="A476" s="110"/>
      <c r="C476" s="110"/>
      <c r="D476" s="110"/>
      <c r="F476" s="140"/>
      <c r="H476" s="34"/>
      <c r="I476" s="34"/>
      <c r="J476" s="34"/>
      <c r="L476" s="34"/>
      <c r="N476" s="34"/>
      <c r="AB476" s="34"/>
    </row>
    <row r="477" spans="1:28" x14ac:dyDescent="0.25">
      <c r="A477" s="110"/>
      <c r="C477" s="110"/>
      <c r="D477" s="110"/>
      <c r="F477" s="140"/>
      <c r="H477" s="34"/>
      <c r="I477" s="34"/>
      <c r="J477" s="34"/>
      <c r="L477" s="34"/>
      <c r="N477" s="34"/>
      <c r="AB477" s="34"/>
    </row>
    <row r="478" spans="1:28" x14ac:dyDescent="0.25">
      <c r="A478" s="110"/>
      <c r="C478" s="110"/>
      <c r="D478" s="110"/>
      <c r="F478" s="140"/>
      <c r="H478" s="34"/>
      <c r="I478" s="34"/>
      <c r="J478" s="34"/>
      <c r="L478" s="34"/>
      <c r="N478" s="34"/>
      <c r="AB478" s="34"/>
    </row>
    <row r="479" spans="1:28" x14ac:dyDescent="0.25">
      <c r="A479" s="110"/>
      <c r="C479" s="110"/>
      <c r="D479" s="110"/>
      <c r="F479" s="140"/>
      <c r="H479" s="34"/>
      <c r="I479" s="34"/>
      <c r="J479" s="34"/>
      <c r="L479" s="34"/>
      <c r="N479" s="34"/>
      <c r="AB479" s="34"/>
    </row>
    <row r="480" spans="1:28" x14ac:dyDescent="0.25">
      <c r="A480" s="110"/>
      <c r="C480" s="110"/>
      <c r="D480" s="110"/>
      <c r="F480" s="140"/>
      <c r="H480" s="34"/>
      <c r="I480" s="34"/>
      <c r="J480" s="34"/>
      <c r="L480" s="34"/>
      <c r="N480" s="34"/>
      <c r="AB480" s="34"/>
    </row>
    <row r="481" spans="1:28" x14ac:dyDescent="0.25">
      <c r="A481" s="110"/>
      <c r="C481" s="110"/>
      <c r="D481" s="110"/>
      <c r="F481" s="140"/>
      <c r="H481" s="34"/>
      <c r="I481" s="34"/>
      <c r="J481" s="34"/>
      <c r="L481" s="34"/>
      <c r="N481" s="34"/>
      <c r="AB481" s="34"/>
    </row>
    <row r="482" spans="1:28" x14ac:dyDescent="0.25">
      <c r="A482" s="110"/>
      <c r="C482" s="110"/>
      <c r="D482" s="110"/>
      <c r="F482" s="140"/>
      <c r="H482" s="34"/>
      <c r="I482" s="34"/>
      <c r="J482" s="34"/>
      <c r="L482" s="34"/>
      <c r="N482" s="34"/>
      <c r="AB482" s="34"/>
    </row>
    <row r="483" spans="1:28" x14ac:dyDescent="0.25">
      <c r="A483" s="110"/>
      <c r="C483" s="110"/>
      <c r="D483" s="110"/>
      <c r="F483" s="140"/>
      <c r="H483" s="34"/>
      <c r="I483" s="34"/>
      <c r="J483" s="34"/>
      <c r="L483" s="34"/>
      <c r="N483" s="34"/>
      <c r="AB483" s="34"/>
    </row>
    <row r="484" spans="1:28" x14ac:dyDescent="0.25">
      <c r="A484" s="110"/>
      <c r="C484" s="110"/>
      <c r="D484" s="110"/>
      <c r="F484" s="140"/>
      <c r="H484" s="34"/>
      <c r="I484" s="34"/>
      <c r="J484" s="34"/>
      <c r="L484" s="34"/>
      <c r="N484" s="34"/>
      <c r="AB484" s="34"/>
    </row>
    <row r="485" spans="1:28" x14ac:dyDescent="0.25">
      <c r="A485" s="110"/>
      <c r="C485" s="110"/>
      <c r="D485" s="110"/>
      <c r="F485" s="140"/>
      <c r="H485" s="34"/>
      <c r="I485" s="34"/>
      <c r="J485" s="34"/>
      <c r="L485" s="34"/>
      <c r="N485" s="34"/>
      <c r="AB485" s="34"/>
    </row>
    <row r="486" spans="1:28" x14ac:dyDescent="0.25">
      <c r="A486" s="110"/>
      <c r="C486" s="110"/>
      <c r="D486" s="110"/>
      <c r="F486" s="140"/>
      <c r="H486" s="34"/>
      <c r="I486" s="34"/>
      <c r="J486" s="34"/>
      <c r="L486" s="34"/>
      <c r="N486" s="34"/>
      <c r="AB486" s="34"/>
    </row>
    <row r="487" spans="1:28" x14ac:dyDescent="0.25">
      <c r="A487" s="110"/>
      <c r="C487" s="110"/>
      <c r="D487" s="110"/>
      <c r="F487" s="140"/>
      <c r="H487" s="34"/>
      <c r="I487" s="34"/>
      <c r="J487" s="34"/>
      <c r="L487" s="34"/>
      <c r="N487" s="34"/>
      <c r="AB487" s="34"/>
    </row>
    <row r="488" spans="1:28" x14ac:dyDescent="0.25">
      <c r="A488" s="110"/>
      <c r="C488" s="110"/>
      <c r="D488" s="110"/>
      <c r="F488" s="140"/>
      <c r="H488" s="34"/>
      <c r="I488" s="34"/>
      <c r="J488" s="34"/>
      <c r="L488" s="34"/>
      <c r="N488" s="34"/>
      <c r="AB488" s="34"/>
    </row>
    <row r="489" spans="1:28" x14ac:dyDescent="0.25">
      <c r="A489" s="110"/>
      <c r="C489" s="110"/>
      <c r="D489" s="110"/>
      <c r="F489" s="140"/>
      <c r="H489" s="34"/>
      <c r="I489" s="34"/>
      <c r="J489" s="34"/>
      <c r="L489" s="34"/>
      <c r="N489" s="34"/>
      <c r="AB489" s="34"/>
    </row>
    <row r="490" spans="1:28" x14ac:dyDescent="0.25">
      <c r="A490" s="110"/>
      <c r="C490" s="110"/>
      <c r="D490" s="110"/>
      <c r="F490" s="140"/>
      <c r="H490" s="34"/>
      <c r="I490" s="34"/>
      <c r="J490" s="34"/>
      <c r="L490" s="34"/>
      <c r="N490" s="34"/>
      <c r="AB490" s="34"/>
    </row>
    <row r="491" spans="1:28" x14ac:dyDescent="0.25">
      <c r="A491" s="110"/>
      <c r="C491" s="110"/>
      <c r="D491" s="110"/>
      <c r="F491" s="140"/>
      <c r="H491" s="34"/>
      <c r="I491" s="34"/>
      <c r="J491" s="34"/>
      <c r="L491" s="34"/>
      <c r="N491" s="34"/>
      <c r="AB491" s="34"/>
    </row>
    <row r="492" spans="1:28" x14ac:dyDescent="0.25">
      <c r="A492" s="110"/>
      <c r="C492" s="110"/>
      <c r="D492" s="110"/>
      <c r="F492" s="140"/>
      <c r="H492" s="34"/>
      <c r="I492" s="34"/>
      <c r="J492" s="34"/>
      <c r="L492" s="34"/>
      <c r="N492" s="34"/>
      <c r="AB492" s="34"/>
    </row>
    <row r="493" spans="1:28" x14ac:dyDescent="0.25">
      <c r="A493" s="110"/>
      <c r="C493" s="110"/>
      <c r="D493" s="110"/>
      <c r="F493" s="140"/>
      <c r="H493" s="34"/>
      <c r="I493" s="34"/>
      <c r="J493" s="34"/>
      <c r="L493" s="34"/>
      <c r="N493" s="34"/>
      <c r="AB493" s="34"/>
    </row>
    <row r="494" spans="1:28" x14ac:dyDescent="0.25">
      <c r="A494" s="110"/>
      <c r="C494" s="110"/>
      <c r="D494" s="110"/>
      <c r="F494" s="140"/>
      <c r="H494" s="34"/>
      <c r="I494" s="34"/>
      <c r="J494" s="34"/>
      <c r="L494" s="34"/>
      <c r="N494" s="34"/>
      <c r="AB494" s="34"/>
    </row>
    <row r="495" spans="1:28" x14ac:dyDescent="0.25">
      <c r="A495" s="110"/>
      <c r="C495" s="110"/>
      <c r="D495" s="110"/>
      <c r="F495" s="140"/>
      <c r="H495" s="34"/>
      <c r="I495" s="34"/>
      <c r="J495" s="34"/>
      <c r="L495" s="34"/>
      <c r="N495" s="34"/>
      <c r="AB495" s="34"/>
    </row>
    <row r="496" spans="1:28" x14ac:dyDescent="0.25">
      <c r="A496" s="110"/>
      <c r="C496" s="110"/>
      <c r="D496" s="110"/>
      <c r="F496" s="140"/>
      <c r="H496" s="34"/>
      <c r="I496" s="34"/>
      <c r="J496" s="34"/>
      <c r="L496" s="34"/>
      <c r="N496" s="34"/>
      <c r="AB496" s="34"/>
    </row>
    <row r="497" spans="1:28" x14ac:dyDescent="0.25">
      <c r="A497" s="110"/>
      <c r="C497" s="110"/>
      <c r="D497" s="110"/>
      <c r="F497" s="140"/>
      <c r="H497" s="34"/>
      <c r="I497" s="34"/>
      <c r="J497" s="34"/>
      <c r="L497" s="34"/>
      <c r="N497" s="34"/>
      <c r="AB497" s="34"/>
    </row>
    <row r="498" spans="1:28" x14ac:dyDescent="0.25">
      <c r="A498" s="110"/>
      <c r="C498" s="110"/>
      <c r="D498" s="110"/>
      <c r="F498" s="140"/>
      <c r="H498" s="34"/>
      <c r="I498" s="34"/>
      <c r="J498" s="34"/>
      <c r="L498" s="34"/>
      <c r="N498" s="34"/>
      <c r="AB498" s="34"/>
    </row>
    <row r="499" spans="1:28" x14ac:dyDescent="0.25">
      <c r="A499" s="110"/>
      <c r="C499" s="110"/>
      <c r="D499" s="110"/>
      <c r="F499" s="140"/>
      <c r="H499" s="34"/>
      <c r="I499" s="34"/>
      <c r="J499" s="34"/>
      <c r="L499" s="34"/>
      <c r="N499" s="34"/>
      <c r="AB499" s="34"/>
    </row>
    <row r="500" spans="1:28" x14ac:dyDescent="0.25">
      <c r="A500" s="110"/>
      <c r="C500" s="110"/>
      <c r="D500" s="110"/>
      <c r="F500" s="140"/>
      <c r="H500" s="34"/>
      <c r="I500" s="34"/>
      <c r="J500" s="34"/>
      <c r="L500" s="34"/>
      <c r="N500" s="34"/>
      <c r="AB500" s="34"/>
    </row>
  </sheetData>
  <autoFilter ref="A1:AK1" xr:uid="{00000000-0009-0000-0000-000003000000}">
    <sortState ref="A2:AK269">
      <sortCondition ref="A1"/>
    </sortState>
  </autoFilter>
  <sortState ref="B2:B39">
    <sortCondition ref="B2:B39"/>
  </sortState>
  <pageMargins left="0.7" right="0.7" top="0.75" bottom="0.75" header="0.3" footer="0.3"/>
  <pageSetup orientation="portrait" r:id="rId1"/>
  <headerFooter>
    <oddFooter>&amp;C&amp;1#&amp;"Calibri"&amp;10 Schlumberger-Private</oddFoot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dimension ref="A1:Z500"/>
  <sheetViews>
    <sheetView workbookViewId="0">
      <selection activeCell="A2" sqref="A2:F500"/>
    </sheetView>
  </sheetViews>
  <sheetFormatPr defaultRowHeight="15" x14ac:dyDescent="0.25"/>
  <cols>
    <col min="1" max="1" width="48.42578125" style="3" customWidth="1"/>
    <col min="2" max="2" width="29.42578125" style="3" customWidth="1"/>
    <col min="3" max="3" width="28.85546875" style="3" customWidth="1"/>
    <col min="4" max="4" width="22.7109375" style="3" customWidth="1"/>
    <col min="5" max="5" width="22.28515625" style="3" customWidth="1"/>
    <col min="6" max="6" width="48.7109375" style="3" customWidth="1"/>
    <col min="7" max="15" width="9.140625" style="3"/>
    <col min="16" max="16" width="24.7109375" style="3" customWidth="1"/>
    <col min="17" max="17" width="59.7109375" style="3" customWidth="1"/>
    <col min="18" max="16384" width="9.140625" style="3"/>
  </cols>
  <sheetData>
    <row r="1" spans="1:26" ht="21" x14ac:dyDescent="0.25">
      <c r="A1" s="105" t="s">
        <v>932</v>
      </c>
      <c r="B1" s="105" t="s">
        <v>933</v>
      </c>
      <c r="C1" s="105" t="s">
        <v>899</v>
      </c>
      <c r="D1" s="105" t="s">
        <v>934</v>
      </c>
      <c r="E1" s="105" t="s">
        <v>935</v>
      </c>
      <c r="F1" s="105" t="s">
        <v>936</v>
      </c>
    </row>
    <row r="2" spans="1:26" ht="30" x14ac:dyDescent="0.25">
      <c r="A2" s="80" t="s">
        <v>51</v>
      </c>
      <c r="B2" s="80" t="s">
        <v>86</v>
      </c>
      <c r="C2" s="80"/>
      <c r="D2" s="80"/>
      <c r="E2" s="80" t="s">
        <v>79</v>
      </c>
      <c r="F2" s="80" t="s">
        <v>910</v>
      </c>
      <c r="G2" s="126"/>
      <c r="H2" s="126"/>
      <c r="I2" s="80"/>
      <c r="J2" s="80"/>
      <c r="K2" s="80"/>
      <c r="L2" s="80"/>
      <c r="M2" s="80" t="s">
        <v>76</v>
      </c>
      <c r="N2" s="83" t="s">
        <v>968</v>
      </c>
      <c r="O2" s="80" t="s">
        <v>285</v>
      </c>
      <c r="P2" s="80" t="s">
        <v>121</v>
      </c>
      <c r="Q2" s="83" t="s">
        <v>969</v>
      </c>
      <c r="R2" s="80"/>
      <c r="S2" s="80"/>
      <c r="T2" s="80"/>
      <c r="U2" s="80"/>
      <c r="V2" s="80"/>
      <c r="W2" s="80"/>
      <c r="X2" s="80"/>
      <c r="Y2" s="80"/>
      <c r="Z2" s="80"/>
    </row>
    <row r="3" spans="1:26" x14ac:dyDescent="0.25">
      <c r="A3" s="80" t="s">
        <v>52</v>
      </c>
      <c r="B3" s="80" t="s">
        <v>86</v>
      </c>
      <c r="C3" s="80"/>
      <c r="D3" s="80"/>
      <c r="E3" s="80" t="s">
        <v>79</v>
      </c>
      <c r="F3" s="80"/>
      <c r="G3" s="126"/>
      <c r="H3" s="126"/>
      <c r="I3" s="80"/>
      <c r="J3" s="80"/>
      <c r="K3" s="80"/>
      <c r="L3" s="80"/>
      <c r="M3" s="80"/>
      <c r="N3" s="80"/>
      <c r="O3" s="80"/>
      <c r="P3" s="80"/>
      <c r="Q3" s="80"/>
      <c r="R3" s="80"/>
      <c r="S3" s="80"/>
      <c r="T3" s="80"/>
      <c r="U3" s="80"/>
      <c r="V3" s="80"/>
      <c r="W3" s="80"/>
      <c r="X3" s="80"/>
      <c r="Y3" s="80"/>
      <c r="Z3" s="80"/>
    </row>
    <row r="4" spans="1:26" x14ac:dyDescent="0.25">
      <c r="A4" s="80" t="s">
        <v>53</v>
      </c>
      <c r="B4" s="80" t="s">
        <v>86</v>
      </c>
      <c r="C4" s="80"/>
      <c r="D4" s="80"/>
      <c r="E4" s="80" t="s">
        <v>79</v>
      </c>
      <c r="F4" s="80"/>
      <c r="G4" s="126"/>
      <c r="H4" s="126"/>
      <c r="I4" s="80"/>
      <c r="J4" s="80"/>
      <c r="K4" s="80"/>
      <c r="L4" s="80"/>
      <c r="M4" s="80"/>
      <c r="N4" s="80"/>
      <c r="O4" s="80"/>
      <c r="P4" s="80"/>
      <c r="Q4" s="80"/>
      <c r="R4" s="80"/>
      <c r="S4" s="80"/>
      <c r="T4" s="80"/>
      <c r="U4" s="80"/>
      <c r="V4" s="80"/>
      <c r="W4" s="80"/>
      <c r="X4" s="80"/>
      <c r="Y4" s="80"/>
      <c r="Z4" s="80"/>
    </row>
    <row r="5" spans="1:26" x14ac:dyDescent="0.25">
      <c r="A5" s="80" t="s">
        <v>102</v>
      </c>
      <c r="B5" s="80" t="s">
        <v>103</v>
      </c>
      <c r="C5" s="80"/>
      <c r="D5" s="80"/>
      <c r="E5" s="80" t="s">
        <v>79</v>
      </c>
      <c r="F5" s="80"/>
      <c r="G5" s="126"/>
      <c r="H5" s="126"/>
      <c r="I5" s="80"/>
      <c r="J5" s="80"/>
      <c r="K5" s="80"/>
      <c r="L5" s="80"/>
      <c r="M5" s="80"/>
      <c r="N5" s="80"/>
      <c r="O5" s="80"/>
      <c r="P5" s="80"/>
      <c r="Q5" s="80"/>
      <c r="R5" s="80"/>
      <c r="S5" s="80"/>
      <c r="T5" s="80"/>
      <c r="U5" s="80"/>
      <c r="V5" s="80"/>
      <c r="W5" s="80"/>
      <c r="X5" s="80"/>
      <c r="Y5" s="80"/>
      <c r="Z5" s="80"/>
    </row>
    <row r="6" spans="1:26" x14ac:dyDescent="0.25">
      <c r="A6" s="80" t="s">
        <v>54</v>
      </c>
      <c r="B6" s="80" t="s">
        <v>86</v>
      </c>
      <c r="C6" s="80"/>
      <c r="D6" s="80"/>
      <c r="E6" s="80"/>
      <c r="F6" s="80"/>
      <c r="G6" s="126"/>
      <c r="H6" s="126"/>
      <c r="I6" s="80"/>
      <c r="J6" s="80"/>
      <c r="K6" s="80"/>
      <c r="L6" s="80"/>
      <c r="M6" s="80"/>
      <c r="N6" s="80"/>
      <c r="O6" s="80"/>
      <c r="P6" s="80"/>
      <c r="Q6" s="80"/>
      <c r="R6" s="80"/>
      <c r="S6" s="80"/>
      <c r="T6" s="80"/>
      <c r="U6" s="80"/>
      <c r="V6" s="80"/>
      <c r="W6" s="80"/>
      <c r="X6" s="80"/>
      <c r="Y6" s="80"/>
      <c r="Z6" s="80"/>
    </row>
    <row r="7" spans="1:26" ht="45" x14ac:dyDescent="0.25">
      <c r="A7" s="80" t="s">
        <v>963</v>
      </c>
      <c r="B7" s="80" t="s">
        <v>86</v>
      </c>
      <c r="C7" s="80" t="s">
        <v>964</v>
      </c>
      <c r="D7" s="80" t="s">
        <v>965</v>
      </c>
      <c r="E7" s="80"/>
      <c r="F7" s="83" t="s">
        <v>967</v>
      </c>
      <c r="G7" s="126"/>
      <c r="H7" s="126"/>
      <c r="I7" s="80"/>
      <c r="J7" s="80"/>
      <c r="K7" s="80"/>
      <c r="L7" s="80"/>
      <c r="M7" s="80"/>
      <c r="N7" s="80"/>
      <c r="O7" s="80"/>
      <c r="P7" s="80"/>
      <c r="Q7" s="80"/>
      <c r="R7" s="80"/>
      <c r="S7" s="80"/>
      <c r="T7" s="80"/>
      <c r="U7" s="80"/>
      <c r="V7" s="80"/>
      <c r="W7" s="80"/>
      <c r="X7" s="80"/>
      <c r="Y7" s="80"/>
      <c r="Z7" s="80"/>
    </row>
    <row r="8" spans="1:26" x14ac:dyDescent="0.25">
      <c r="A8" s="80" t="s">
        <v>415</v>
      </c>
      <c r="B8" s="80" t="s">
        <v>940</v>
      </c>
      <c r="C8" s="80"/>
      <c r="D8" s="80"/>
      <c r="E8" s="80"/>
      <c r="F8" s="80"/>
      <c r="G8" s="126"/>
      <c r="H8" s="126"/>
      <c r="I8" s="80"/>
      <c r="J8" s="80"/>
      <c r="K8" s="80"/>
      <c r="L8" s="80"/>
      <c r="M8" s="80"/>
      <c r="N8" s="80"/>
      <c r="O8" s="80"/>
      <c r="P8" s="80"/>
      <c r="Q8" s="80"/>
      <c r="R8" s="80"/>
      <c r="S8" s="80"/>
      <c r="T8" s="80"/>
      <c r="U8" s="80"/>
      <c r="V8" s="80"/>
      <c r="W8" s="80"/>
      <c r="X8" s="80"/>
      <c r="Y8" s="80"/>
      <c r="Z8" s="80"/>
    </row>
    <row r="9" spans="1:26" x14ac:dyDescent="0.25">
      <c r="A9" s="80" t="s">
        <v>427</v>
      </c>
      <c r="B9" s="80" t="s">
        <v>88</v>
      </c>
      <c r="C9" s="80"/>
      <c r="D9" s="80"/>
      <c r="E9" s="80"/>
      <c r="F9" s="80"/>
      <c r="G9" s="126"/>
      <c r="H9" s="126"/>
      <c r="I9" s="80"/>
      <c r="J9" s="80"/>
      <c r="K9" s="80"/>
      <c r="L9" s="80"/>
      <c r="M9" s="80"/>
      <c r="N9" s="80"/>
      <c r="O9" s="80"/>
      <c r="P9" s="80"/>
      <c r="Q9" s="80"/>
      <c r="R9" s="80"/>
      <c r="S9" s="80"/>
      <c r="T9" s="80"/>
      <c r="U9" s="80"/>
      <c r="V9" s="80"/>
      <c r="W9" s="80"/>
      <c r="X9" s="80"/>
      <c r="Y9" s="80"/>
      <c r="Z9" s="80"/>
    </row>
    <row r="10" spans="1:26" x14ac:dyDescent="0.25">
      <c r="A10" s="80" t="s">
        <v>1616</v>
      </c>
      <c r="B10" s="80" t="s">
        <v>88</v>
      </c>
      <c r="C10" s="80" t="s">
        <v>1617</v>
      </c>
      <c r="D10" s="80" t="s">
        <v>1618</v>
      </c>
      <c r="E10" s="80" t="s">
        <v>79</v>
      </c>
      <c r="F10" s="80" t="s">
        <v>1619</v>
      </c>
      <c r="G10" s="126"/>
      <c r="H10" s="126"/>
      <c r="I10" s="80"/>
      <c r="J10" s="80"/>
      <c r="K10" s="80"/>
      <c r="L10" s="80"/>
      <c r="M10" s="80"/>
      <c r="N10" s="80"/>
      <c r="O10" s="80"/>
      <c r="P10" s="80"/>
      <c r="Q10" s="80"/>
      <c r="R10" s="80"/>
      <c r="S10" s="80"/>
      <c r="T10" s="80"/>
      <c r="U10" s="80"/>
      <c r="V10" s="80"/>
      <c r="W10" s="80"/>
      <c r="X10" s="80"/>
      <c r="Y10" s="80"/>
      <c r="Z10" s="80"/>
    </row>
    <row r="11" spans="1:26" x14ac:dyDescent="0.25">
      <c r="A11" s="80" t="s">
        <v>911</v>
      </c>
      <c r="B11" s="80" t="s">
        <v>88</v>
      </c>
      <c r="C11" s="80"/>
      <c r="D11" s="80"/>
      <c r="E11" s="80"/>
      <c r="F11" s="80"/>
      <c r="G11" s="126"/>
      <c r="H11" s="126"/>
      <c r="I11" s="80"/>
      <c r="J11" s="80"/>
      <c r="K11" s="80"/>
      <c r="L11" s="80"/>
      <c r="M11" s="80"/>
      <c r="N11" s="80"/>
      <c r="O11" s="80"/>
      <c r="P11" s="80"/>
      <c r="Q11" s="80"/>
      <c r="R11" s="80"/>
      <c r="S11" s="80"/>
      <c r="T11" s="80"/>
      <c r="U11" s="80"/>
      <c r="V11" s="80"/>
      <c r="W11" s="80"/>
      <c r="X11" s="80"/>
      <c r="Y11" s="80"/>
      <c r="Z11" s="80"/>
    </row>
    <row r="12" spans="1:26" x14ac:dyDescent="0.25">
      <c r="A12" s="80" t="s">
        <v>1688</v>
      </c>
      <c r="B12" s="80" t="s">
        <v>85</v>
      </c>
      <c r="C12" s="80" t="s">
        <v>1248</v>
      </c>
      <c r="D12" s="80" t="s">
        <v>1689</v>
      </c>
      <c r="E12" s="80" t="s">
        <v>79</v>
      </c>
      <c r="F12" s="80" t="s">
        <v>1691</v>
      </c>
      <c r="G12" s="126"/>
      <c r="H12" s="126"/>
      <c r="I12" s="80"/>
      <c r="J12" s="80"/>
      <c r="K12" s="80"/>
      <c r="L12" s="80"/>
      <c r="M12" s="80"/>
      <c r="N12" s="80"/>
      <c r="O12" s="80"/>
      <c r="P12" s="80"/>
      <c r="Q12" s="80"/>
      <c r="R12" s="80"/>
      <c r="S12" s="80"/>
      <c r="T12" s="80"/>
      <c r="U12" s="80"/>
      <c r="V12" s="80"/>
      <c r="W12" s="80"/>
      <c r="X12" s="80"/>
      <c r="Y12" s="80"/>
      <c r="Z12" s="80"/>
    </row>
    <row r="13" spans="1:26" x14ac:dyDescent="0.25">
      <c r="A13" s="80" t="s">
        <v>1247</v>
      </c>
      <c r="B13" s="80" t="s">
        <v>921</v>
      </c>
      <c r="C13" s="80" t="s">
        <v>1248</v>
      </c>
      <c r="D13" s="80" t="s">
        <v>1249</v>
      </c>
      <c r="E13" s="80" t="s">
        <v>79</v>
      </c>
      <c r="F13" s="80" t="s">
        <v>1250</v>
      </c>
      <c r="G13" s="126"/>
      <c r="H13" s="126"/>
      <c r="I13" s="80"/>
      <c r="J13" s="80"/>
      <c r="K13" s="80"/>
      <c r="L13" s="80"/>
      <c r="M13" s="80"/>
      <c r="N13" s="80"/>
      <c r="O13" s="80"/>
      <c r="P13" s="80"/>
      <c r="Q13" s="80"/>
      <c r="R13" s="80"/>
      <c r="S13" s="80"/>
      <c r="T13" s="80"/>
      <c r="U13" s="80"/>
      <c r="V13" s="80"/>
      <c r="W13" s="80"/>
      <c r="X13" s="80"/>
      <c r="Y13" s="80"/>
      <c r="Z13" s="80"/>
    </row>
    <row r="14" spans="1:26" x14ac:dyDescent="0.25">
      <c r="A14" s="80" t="s">
        <v>1251</v>
      </c>
      <c r="B14" s="80" t="s">
        <v>1252</v>
      </c>
      <c r="C14" s="80" t="s">
        <v>1248</v>
      </c>
      <c r="D14" s="80" t="s">
        <v>1253</v>
      </c>
      <c r="E14" s="80" t="s">
        <v>79</v>
      </c>
      <c r="F14" s="80" t="s">
        <v>1254</v>
      </c>
      <c r="G14" s="126"/>
      <c r="H14" s="126"/>
      <c r="I14" s="80"/>
      <c r="J14" s="80"/>
      <c r="K14" s="80"/>
      <c r="L14" s="80"/>
      <c r="M14" s="80"/>
      <c r="N14" s="80"/>
      <c r="O14" s="80"/>
      <c r="P14" s="80"/>
      <c r="Q14" s="80"/>
      <c r="R14" s="80"/>
      <c r="S14" s="80"/>
      <c r="T14" s="80"/>
      <c r="U14" s="80"/>
      <c r="V14" s="80"/>
      <c r="W14" s="80"/>
      <c r="X14" s="80"/>
      <c r="Y14" s="80"/>
      <c r="Z14" s="80"/>
    </row>
    <row r="15" spans="1:26" ht="45" x14ac:dyDescent="0.25">
      <c r="A15" s="80" t="s">
        <v>1692</v>
      </c>
      <c r="B15" s="80" t="s">
        <v>1259</v>
      </c>
      <c r="C15" s="80" t="s">
        <v>1248</v>
      </c>
      <c r="D15" s="80" t="s">
        <v>1693</v>
      </c>
      <c r="E15" s="80" t="s">
        <v>79</v>
      </c>
      <c r="F15" s="83" t="s">
        <v>1694</v>
      </c>
      <c r="G15" s="126"/>
      <c r="H15" s="126"/>
      <c r="I15" s="80"/>
      <c r="J15" s="80"/>
      <c r="K15" s="80"/>
      <c r="L15" s="80"/>
      <c r="M15" s="80"/>
      <c r="N15" s="80"/>
      <c r="O15" s="80"/>
      <c r="P15" s="80"/>
      <c r="Q15" s="80"/>
      <c r="R15" s="80"/>
      <c r="S15" s="80"/>
      <c r="T15" s="80"/>
      <c r="U15" s="80"/>
      <c r="V15" s="80"/>
      <c r="W15" s="80"/>
      <c r="X15" s="80"/>
      <c r="Y15" s="80"/>
      <c r="Z15" s="80"/>
    </row>
    <row r="16" spans="1:26" x14ac:dyDescent="0.25">
      <c r="A16" s="80" t="s">
        <v>1255</v>
      </c>
      <c r="B16" s="80" t="s">
        <v>85</v>
      </c>
      <c r="C16" s="80" t="s">
        <v>1248</v>
      </c>
      <c r="D16" s="80" t="s">
        <v>1256</v>
      </c>
      <c r="E16" s="80" t="s">
        <v>79</v>
      </c>
      <c r="F16" s="80" t="s">
        <v>1257</v>
      </c>
      <c r="G16" s="126"/>
      <c r="H16" s="126"/>
      <c r="I16" s="80"/>
      <c r="J16" s="80"/>
      <c r="K16" s="80"/>
      <c r="L16" s="80"/>
      <c r="M16" s="80"/>
      <c r="N16" s="80"/>
      <c r="O16" s="80"/>
      <c r="P16" s="80"/>
      <c r="Q16" s="80"/>
      <c r="R16" s="80"/>
      <c r="S16" s="80"/>
      <c r="T16" s="80"/>
      <c r="U16" s="80"/>
      <c r="V16" s="80"/>
      <c r="W16" s="80"/>
      <c r="X16" s="80"/>
      <c r="Y16" s="80"/>
      <c r="Z16" s="80"/>
    </row>
    <row r="17" spans="1:26" x14ac:dyDescent="0.25">
      <c r="A17" s="80" t="s">
        <v>1258</v>
      </c>
      <c r="B17" s="80" t="s">
        <v>1259</v>
      </c>
      <c r="C17" s="80" t="s">
        <v>1248</v>
      </c>
      <c r="D17" s="80" t="s">
        <v>1260</v>
      </c>
      <c r="E17" s="80" t="s">
        <v>79</v>
      </c>
      <c r="F17" s="80" t="s">
        <v>1261</v>
      </c>
      <c r="G17" s="126"/>
      <c r="H17" s="126"/>
      <c r="I17" s="80"/>
      <c r="J17" s="80"/>
      <c r="K17" s="80"/>
      <c r="L17" s="80"/>
      <c r="M17" s="80"/>
      <c r="N17" s="80"/>
      <c r="O17" s="80"/>
      <c r="P17" s="80"/>
      <c r="Q17" s="80"/>
      <c r="R17" s="80"/>
      <c r="S17" s="80"/>
      <c r="T17" s="80"/>
      <c r="U17" s="80"/>
      <c r="V17" s="80"/>
      <c r="W17" s="80"/>
      <c r="X17" s="80"/>
      <c r="Y17" s="80"/>
      <c r="Z17" s="80"/>
    </row>
    <row r="18" spans="1:26" x14ac:dyDescent="0.25">
      <c r="A18" s="80" t="s">
        <v>1262</v>
      </c>
      <c r="B18" s="80" t="s">
        <v>1259</v>
      </c>
      <c r="C18" s="80" t="s">
        <v>1248</v>
      </c>
      <c r="D18" s="80" t="s">
        <v>1263</v>
      </c>
      <c r="E18" s="80" t="s">
        <v>79</v>
      </c>
      <c r="F18" s="83" t="s">
        <v>1264</v>
      </c>
      <c r="G18" s="126"/>
      <c r="H18" s="126"/>
      <c r="I18" s="80"/>
      <c r="J18" s="80"/>
      <c r="K18" s="80"/>
      <c r="L18" s="80"/>
      <c r="M18" s="80"/>
      <c r="N18" s="80"/>
      <c r="O18" s="80"/>
      <c r="P18" s="80"/>
      <c r="Q18" s="80"/>
      <c r="R18" s="80"/>
      <c r="S18" s="80"/>
      <c r="T18" s="80"/>
      <c r="U18" s="80"/>
      <c r="V18" s="80"/>
      <c r="W18" s="80"/>
      <c r="X18" s="80"/>
      <c r="Y18" s="80"/>
      <c r="Z18" s="80"/>
    </row>
    <row r="19" spans="1:26" x14ac:dyDescent="0.25">
      <c r="A19" s="80" t="s">
        <v>560</v>
      </c>
      <c r="B19" s="80" t="s">
        <v>912</v>
      </c>
      <c r="C19" s="80"/>
      <c r="D19" s="80"/>
      <c r="E19" s="80"/>
      <c r="F19" s="83"/>
      <c r="G19" s="126"/>
      <c r="H19" s="126"/>
      <c r="I19" s="80"/>
      <c r="J19" s="80"/>
      <c r="K19" s="80"/>
      <c r="L19" s="80"/>
      <c r="M19" s="80"/>
      <c r="N19" s="80"/>
      <c r="O19" s="80"/>
      <c r="P19" s="80"/>
      <c r="Q19" s="80"/>
      <c r="R19" s="80"/>
      <c r="S19" s="80"/>
      <c r="T19" s="80"/>
      <c r="U19" s="80"/>
      <c r="V19" s="80"/>
      <c r="W19" s="80"/>
      <c r="X19" s="80"/>
      <c r="Y19" s="80"/>
      <c r="Z19" s="80"/>
    </row>
    <row r="20" spans="1:26" x14ac:dyDescent="0.25">
      <c r="A20" s="80" t="s">
        <v>1265</v>
      </c>
      <c r="B20" s="80" t="s">
        <v>912</v>
      </c>
      <c r="C20" s="80" t="s">
        <v>1266</v>
      </c>
      <c r="D20" s="80" t="s">
        <v>1267</v>
      </c>
      <c r="E20" s="80" t="s">
        <v>79</v>
      </c>
      <c r="F20" s="80" t="s">
        <v>1268</v>
      </c>
      <c r="G20" s="126"/>
      <c r="H20" s="126"/>
      <c r="I20" s="80"/>
      <c r="J20" s="80"/>
      <c r="K20" s="80"/>
      <c r="L20" s="80"/>
      <c r="M20" s="80"/>
      <c r="N20" s="80"/>
      <c r="O20" s="80"/>
      <c r="P20" s="80"/>
      <c r="Q20" s="80"/>
      <c r="R20" s="80"/>
      <c r="S20" s="80"/>
      <c r="T20" s="80"/>
      <c r="U20" s="80"/>
      <c r="V20" s="80"/>
      <c r="W20" s="80"/>
      <c r="X20" s="80"/>
      <c r="Y20" s="80"/>
      <c r="Z20" s="80"/>
    </row>
    <row r="21" spans="1:26" ht="45" x14ac:dyDescent="0.25">
      <c r="A21" s="80" t="s">
        <v>1269</v>
      </c>
      <c r="B21" s="80" t="s">
        <v>85</v>
      </c>
      <c r="C21" s="80" t="s">
        <v>84</v>
      </c>
      <c r="D21" s="80" t="s">
        <v>1270</v>
      </c>
      <c r="E21" s="80" t="s">
        <v>79</v>
      </c>
      <c r="F21" s="83" t="s">
        <v>1271</v>
      </c>
      <c r="G21" s="126"/>
      <c r="H21" s="126"/>
      <c r="I21" s="80"/>
      <c r="J21" s="80"/>
      <c r="K21" s="80"/>
      <c r="L21" s="80"/>
      <c r="M21" s="80"/>
      <c r="N21" s="80"/>
      <c r="O21" s="80"/>
      <c r="P21" s="80"/>
      <c r="Q21" s="80"/>
      <c r="R21" s="80"/>
      <c r="S21" s="80"/>
      <c r="T21" s="80"/>
      <c r="U21" s="80"/>
      <c r="V21" s="80"/>
      <c r="W21" s="80"/>
      <c r="X21" s="80"/>
      <c r="Y21" s="80"/>
      <c r="Z21" s="80"/>
    </row>
    <row r="22" spans="1:26" x14ac:dyDescent="0.25">
      <c r="A22" s="80" t="s">
        <v>1269</v>
      </c>
      <c r="B22" s="80" t="s">
        <v>85</v>
      </c>
      <c r="C22" s="80" t="s">
        <v>84</v>
      </c>
      <c r="D22" s="80" t="s">
        <v>1272</v>
      </c>
      <c r="E22" s="80" t="s">
        <v>79</v>
      </c>
      <c r="F22" s="80" t="s">
        <v>1273</v>
      </c>
      <c r="G22" s="126"/>
      <c r="H22" s="126"/>
      <c r="I22" s="80"/>
      <c r="J22" s="80"/>
      <c r="K22" s="80"/>
      <c r="L22" s="80"/>
      <c r="M22" s="80"/>
      <c r="N22" s="80"/>
      <c r="O22" s="80"/>
      <c r="P22" s="80"/>
      <c r="Q22" s="80"/>
      <c r="R22" s="80"/>
      <c r="S22" s="80"/>
      <c r="T22" s="80"/>
      <c r="U22" s="80"/>
      <c r="V22" s="80"/>
      <c r="W22" s="80"/>
      <c r="X22" s="80"/>
      <c r="Y22" s="80"/>
      <c r="Z22" s="80"/>
    </row>
    <row r="23" spans="1:26" x14ac:dyDescent="0.25">
      <c r="A23" s="80" t="s">
        <v>1613</v>
      </c>
      <c r="B23" s="80" t="s">
        <v>921</v>
      </c>
      <c r="C23" s="80" t="s">
        <v>1614</v>
      </c>
      <c r="D23" s="80" t="s">
        <v>1615</v>
      </c>
      <c r="E23" s="80" t="s">
        <v>79</v>
      </c>
      <c r="F23" s="80" t="s">
        <v>1620</v>
      </c>
      <c r="G23" s="126"/>
      <c r="H23" s="126"/>
      <c r="I23" s="80"/>
      <c r="J23" s="80"/>
      <c r="K23" s="80"/>
      <c r="L23" s="80"/>
      <c r="M23" s="80"/>
      <c r="N23" s="80"/>
      <c r="O23" s="80"/>
      <c r="P23" s="80"/>
      <c r="Q23" s="80"/>
      <c r="R23" s="80"/>
      <c r="S23" s="80"/>
      <c r="T23" s="80"/>
      <c r="U23" s="80"/>
      <c r="V23" s="80"/>
      <c r="W23" s="80"/>
      <c r="X23" s="80"/>
      <c r="Y23" s="80"/>
      <c r="Z23" s="80"/>
    </row>
    <row r="24" spans="1:26" x14ac:dyDescent="0.25">
      <c r="A24" s="80" t="s">
        <v>1701</v>
      </c>
      <c r="B24" s="80" t="s">
        <v>1702</v>
      </c>
      <c r="C24" s="80" t="s">
        <v>1703</v>
      </c>
      <c r="D24" s="80" t="s">
        <v>1704</v>
      </c>
      <c r="E24" s="80" t="s">
        <v>79</v>
      </c>
      <c r="F24" s="80" t="s">
        <v>1705</v>
      </c>
      <c r="G24" s="126"/>
      <c r="H24" s="126"/>
      <c r="I24" s="80"/>
      <c r="J24" s="80"/>
      <c r="K24" s="80"/>
      <c r="L24" s="80"/>
      <c r="M24" s="80"/>
      <c r="N24" s="80"/>
      <c r="O24" s="80"/>
      <c r="P24" s="80"/>
      <c r="Q24" s="80"/>
      <c r="R24" s="80"/>
      <c r="S24" s="80"/>
      <c r="T24" s="80"/>
      <c r="U24" s="80"/>
      <c r="V24" s="80"/>
      <c r="W24" s="80"/>
      <c r="X24" s="80"/>
      <c r="Y24" s="80"/>
      <c r="Z24" s="80"/>
    </row>
    <row r="25" spans="1:26" x14ac:dyDescent="0.25">
      <c r="A25" s="80" t="s">
        <v>487</v>
      </c>
      <c r="B25" s="80" t="s">
        <v>77</v>
      </c>
      <c r="C25" s="80"/>
      <c r="D25" s="80"/>
      <c r="E25" s="80"/>
      <c r="F25" s="80"/>
      <c r="G25" s="126"/>
      <c r="H25" s="126"/>
      <c r="I25" s="80"/>
      <c r="J25" s="80"/>
      <c r="K25" s="80"/>
      <c r="L25" s="80"/>
      <c r="M25" s="80"/>
      <c r="N25" s="80"/>
      <c r="O25" s="80"/>
      <c r="P25" s="80"/>
      <c r="Q25" s="80"/>
      <c r="R25" s="80"/>
      <c r="S25" s="80"/>
      <c r="T25" s="80"/>
      <c r="U25" s="80"/>
      <c r="V25" s="80"/>
      <c r="W25" s="80"/>
      <c r="X25" s="80"/>
      <c r="Y25" s="80"/>
      <c r="Z25" s="80"/>
    </row>
    <row r="26" spans="1:26" x14ac:dyDescent="0.25">
      <c r="A26" s="80" t="s">
        <v>486</v>
      </c>
      <c r="B26" s="80" t="s">
        <v>77</v>
      </c>
      <c r="C26" s="80"/>
      <c r="D26" s="80"/>
      <c r="E26" s="80"/>
      <c r="F26" s="80"/>
      <c r="G26" s="126"/>
      <c r="H26" s="126"/>
      <c r="I26" s="80"/>
      <c r="J26" s="80"/>
      <c r="K26" s="80"/>
      <c r="L26" s="80"/>
      <c r="M26" s="80"/>
      <c r="N26" s="80"/>
      <c r="O26" s="80"/>
      <c r="P26" s="80"/>
      <c r="Q26" s="80"/>
      <c r="R26" s="80"/>
      <c r="S26" s="80"/>
      <c r="T26" s="80"/>
      <c r="U26" s="80"/>
      <c r="V26" s="80"/>
      <c r="W26" s="80"/>
      <c r="X26" s="80"/>
      <c r="Y26" s="80"/>
      <c r="Z26" s="80"/>
    </row>
    <row r="27" spans="1:26" x14ac:dyDescent="0.25">
      <c r="A27" s="80" t="s">
        <v>117</v>
      </c>
      <c r="B27" s="80" t="s">
        <v>76</v>
      </c>
      <c r="C27" s="80" t="s">
        <v>968</v>
      </c>
      <c r="D27" s="80" t="s">
        <v>970</v>
      </c>
      <c r="E27" s="80" t="s">
        <v>117</v>
      </c>
      <c r="F27" s="80" t="s">
        <v>969</v>
      </c>
      <c r="G27" s="126"/>
      <c r="H27" s="126"/>
      <c r="I27" s="80"/>
      <c r="J27" s="80"/>
      <c r="K27" s="80"/>
      <c r="L27" s="80"/>
      <c r="M27" s="80"/>
      <c r="N27" s="80"/>
      <c r="O27" s="80"/>
      <c r="P27" s="80"/>
      <c r="Q27" s="80"/>
      <c r="R27" s="80"/>
      <c r="S27" s="80"/>
      <c r="T27" s="80"/>
      <c r="U27" s="80"/>
      <c r="V27" s="80"/>
      <c r="W27" s="80"/>
      <c r="X27" s="80"/>
      <c r="Y27" s="80"/>
      <c r="Z27" s="80"/>
    </row>
    <row r="28" spans="1:26" x14ac:dyDescent="0.25">
      <c r="A28" s="80" t="s">
        <v>119</v>
      </c>
      <c r="B28" s="80" t="s">
        <v>76</v>
      </c>
      <c r="C28" s="80" t="s">
        <v>968</v>
      </c>
      <c r="D28" s="80" t="s">
        <v>970</v>
      </c>
      <c r="E28" s="80" t="s">
        <v>119</v>
      </c>
      <c r="F28" s="80" t="s">
        <v>969</v>
      </c>
      <c r="G28" s="126"/>
      <c r="H28" s="126"/>
      <c r="I28" s="80"/>
      <c r="J28" s="80"/>
      <c r="K28" s="80"/>
      <c r="L28" s="80"/>
      <c r="M28" s="80"/>
      <c r="N28" s="80"/>
      <c r="O28" s="80"/>
      <c r="P28" s="80"/>
      <c r="Q28" s="80"/>
      <c r="R28" s="80"/>
      <c r="S28" s="80"/>
      <c r="T28" s="80"/>
      <c r="U28" s="80"/>
      <c r="V28" s="80"/>
      <c r="W28" s="80"/>
      <c r="X28" s="80"/>
      <c r="Y28" s="80"/>
      <c r="Z28" s="80"/>
    </row>
    <row r="29" spans="1:26" x14ac:dyDescent="0.25">
      <c r="A29" s="80" t="s">
        <v>120</v>
      </c>
      <c r="B29" s="80" t="s">
        <v>76</v>
      </c>
      <c r="C29" s="80" t="s">
        <v>968</v>
      </c>
      <c r="D29" s="80" t="s">
        <v>970</v>
      </c>
      <c r="E29" s="80" t="s">
        <v>120</v>
      </c>
      <c r="F29" s="80" t="s">
        <v>969</v>
      </c>
      <c r="G29" s="126"/>
      <c r="H29" s="126"/>
      <c r="I29" s="80"/>
      <c r="J29" s="80"/>
      <c r="K29" s="80"/>
      <c r="L29" s="80"/>
      <c r="M29" s="80"/>
      <c r="N29" s="80"/>
      <c r="O29" s="80"/>
      <c r="P29" s="80"/>
      <c r="Q29" s="80"/>
      <c r="R29" s="80"/>
      <c r="S29" s="80"/>
      <c r="T29" s="80"/>
      <c r="U29" s="80"/>
      <c r="V29" s="80"/>
      <c r="W29" s="80"/>
      <c r="X29" s="80"/>
      <c r="Y29" s="80"/>
      <c r="Z29" s="80"/>
    </row>
    <row r="30" spans="1:26" x14ac:dyDescent="0.25">
      <c r="A30" s="80" t="s">
        <v>118</v>
      </c>
      <c r="B30" s="80" t="s">
        <v>76</v>
      </c>
      <c r="C30" s="80" t="s">
        <v>968</v>
      </c>
      <c r="D30" s="80" t="s">
        <v>970</v>
      </c>
      <c r="E30" s="80" t="s">
        <v>118</v>
      </c>
      <c r="F30" s="80" t="s">
        <v>969</v>
      </c>
      <c r="G30" s="126"/>
      <c r="H30" s="126"/>
      <c r="I30" s="80"/>
      <c r="J30" s="80"/>
      <c r="K30" s="80"/>
      <c r="L30" s="80"/>
      <c r="M30" s="80"/>
      <c r="N30" s="80"/>
      <c r="O30" s="80"/>
      <c r="P30" s="80"/>
      <c r="Q30" s="80"/>
      <c r="R30" s="80"/>
      <c r="S30" s="80"/>
      <c r="T30" s="80"/>
      <c r="U30" s="80"/>
      <c r="V30" s="80"/>
      <c r="W30" s="80"/>
      <c r="X30" s="80"/>
      <c r="Y30" s="80"/>
      <c r="Z30" s="80"/>
    </row>
    <row r="31" spans="1:26" x14ac:dyDescent="0.25">
      <c r="A31" s="80" t="s">
        <v>121</v>
      </c>
      <c r="B31" s="80" t="s">
        <v>76</v>
      </c>
      <c r="C31" s="80" t="s">
        <v>968</v>
      </c>
      <c r="D31" s="80" t="s">
        <v>285</v>
      </c>
      <c r="E31" s="80" t="s">
        <v>121</v>
      </c>
      <c r="F31" s="80" t="s">
        <v>969</v>
      </c>
      <c r="G31" s="126"/>
      <c r="H31" s="126"/>
      <c r="I31" s="80"/>
      <c r="J31" s="80"/>
      <c r="K31" s="80"/>
      <c r="L31" s="80"/>
      <c r="M31" s="80"/>
      <c r="N31" s="80"/>
      <c r="O31" s="80"/>
      <c r="P31" s="80"/>
      <c r="Q31" s="80"/>
      <c r="R31" s="80"/>
      <c r="S31" s="80"/>
      <c r="T31" s="80"/>
      <c r="U31" s="80"/>
      <c r="V31" s="80"/>
      <c r="W31" s="80"/>
      <c r="X31" s="80"/>
      <c r="Y31" s="80"/>
      <c r="Z31" s="80"/>
    </row>
    <row r="32" spans="1:26" x14ac:dyDescent="0.25">
      <c r="A32" s="80" t="s">
        <v>122</v>
      </c>
      <c r="B32" s="80" t="s">
        <v>76</v>
      </c>
      <c r="C32" s="80" t="s">
        <v>968</v>
      </c>
      <c r="D32" s="80" t="s">
        <v>285</v>
      </c>
      <c r="E32" s="80" t="s">
        <v>122</v>
      </c>
      <c r="F32" s="80" t="s">
        <v>969</v>
      </c>
      <c r="G32" s="126"/>
      <c r="H32" s="126"/>
      <c r="I32" s="80"/>
      <c r="J32" s="80"/>
      <c r="K32" s="80"/>
      <c r="L32" s="80"/>
      <c r="M32" s="80"/>
      <c r="N32" s="80"/>
      <c r="O32" s="80"/>
      <c r="P32" s="80"/>
      <c r="Q32" s="80"/>
      <c r="R32" s="80"/>
      <c r="S32" s="80"/>
      <c r="T32" s="80"/>
      <c r="U32" s="80"/>
      <c r="V32" s="80"/>
      <c r="W32" s="80"/>
      <c r="X32" s="80"/>
      <c r="Y32" s="80"/>
      <c r="Z32" s="80"/>
    </row>
    <row r="33" spans="1:26" x14ac:dyDescent="0.25">
      <c r="A33" s="80" t="s">
        <v>1274</v>
      </c>
      <c r="B33" s="80" t="s">
        <v>1275</v>
      </c>
      <c r="C33" s="80" t="s">
        <v>1276</v>
      </c>
      <c r="D33" s="80" t="s">
        <v>1277</v>
      </c>
      <c r="E33" s="80" t="s">
        <v>79</v>
      </c>
      <c r="F33" s="80" t="s">
        <v>1278</v>
      </c>
      <c r="G33" s="126"/>
      <c r="H33" s="126"/>
      <c r="I33" s="80"/>
      <c r="J33" s="80"/>
      <c r="K33" s="80"/>
      <c r="L33" s="80"/>
      <c r="M33" s="80"/>
      <c r="N33" s="80"/>
      <c r="O33" s="80"/>
      <c r="P33" s="80"/>
      <c r="Q33" s="80"/>
      <c r="R33" s="80"/>
      <c r="S33" s="80"/>
      <c r="T33" s="80"/>
      <c r="U33" s="80"/>
      <c r="V33" s="80"/>
      <c r="W33" s="80"/>
      <c r="X33" s="80"/>
      <c r="Y33" s="80"/>
      <c r="Z33" s="80"/>
    </row>
    <row r="34" spans="1:26" x14ac:dyDescent="0.25">
      <c r="A34" s="80" t="s">
        <v>1279</v>
      </c>
      <c r="B34" s="80" t="s">
        <v>1275</v>
      </c>
      <c r="C34" s="80" t="s">
        <v>1000</v>
      </c>
      <c r="D34" s="80" t="s">
        <v>1280</v>
      </c>
      <c r="E34" s="80" t="s">
        <v>79</v>
      </c>
      <c r="F34" s="80" t="s">
        <v>1281</v>
      </c>
      <c r="G34" s="126"/>
      <c r="H34" s="126"/>
      <c r="I34" s="80"/>
      <c r="J34" s="80"/>
      <c r="K34" s="80"/>
      <c r="L34" s="80"/>
      <c r="M34" s="80"/>
      <c r="N34" s="80"/>
      <c r="O34" s="80"/>
      <c r="P34" s="80"/>
      <c r="Q34" s="80"/>
      <c r="R34" s="80"/>
      <c r="S34" s="80"/>
      <c r="T34" s="80"/>
      <c r="U34" s="80"/>
      <c r="V34" s="80"/>
      <c r="W34" s="80"/>
      <c r="X34" s="80"/>
      <c r="Y34" s="80"/>
      <c r="Z34" s="80"/>
    </row>
    <row r="35" spans="1:26" x14ac:dyDescent="0.25">
      <c r="A35" s="80" t="s">
        <v>326</v>
      </c>
      <c r="B35" s="80" t="s">
        <v>326</v>
      </c>
      <c r="C35" s="80"/>
      <c r="D35" s="80"/>
      <c r="E35" s="80"/>
      <c r="F35" s="80"/>
      <c r="G35" s="126"/>
      <c r="H35" s="126"/>
      <c r="I35" s="80"/>
      <c r="J35" s="80"/>
      <c r="K35" s="80"/>
      <c r="L35" s="80"/>
      <c r="M35" s="80"/>
      <c r="N35" s="80"/>
      <c r="O35" s="80"/>
      <c r="P35" s="80"/>
      <c r="Q35" s="80"/>
      <c r="R35" s="80"/>
      <c r="S35" s="80"/>
      <c r="T35" s="80"/>
      <c r="U35" s="80"/>
      <c r="V35" s="80"/>
      <c r="W35" s="80"/>
      <c r="X35" s="80"/>
      <c r="Y35" s="80"/>
      <c r="Z35" s="80"/>
    </row>
    <row r="36" spans="1:26" x14ac:dyDescent="0.25">
      <c r="A36" s="80" t="s">
        <v>1282</v>
      </c>
      <c r="B36" s="80" t="s">
        <v>1283</v>
      </c>
      <c r="C36" s="80" t="s">
        <v>1284</v>
      </c>
      <c r="D36" s="80" t="s">
        <v>1285</v>
      </c>
      <c r="E36" s="80" t="s">
        <v>79</v>
      </c>
      <c r="F36" s="80" t="s">
        <v>1286</v>
      </c>
      <c r="G36" s="126"/>
      <c r="H36" s="126"/>
      <c r="I36" s="80"/>
      <c r="J36" s="80"/>
      <c r="K36" s="80"/>
      <c r="L36" s="80"/>
      <c r="M36" s="80"/>
      <c r="N36" s="80"/>
      <c r="O36" s="80"/>
      <c r="P36" s="80"/>
      <c r="Q36" s="80"/>
      <c r="R36" s="80"/>
      <c r="S36" s="80"/>
      <c r="T36" s="80"/>
      <c r="U36" s="80"/>
      <c r="V36" s="80"/>
      <c r="W36" s="80"/>
      <c r="X36" s="80"/>
      <c r="Y36" s="80"/>
      <c r="Z36" s="80"/>
    </row>
    <row r="37" spans="1:26" x14ac:dyDescent="0.25">
      <c r="A37" s="80" t="s">
        <v>497</v>
      </c>
      <c r="B37" s="80" t="s">
        <v>76</v>
      </c>
      <c r="C37" s="80"/>
      <c r="D37" s="80"/>
      <c r="E37" s="80"/>
      <c r="F37" s="80"/>
      <c r="G37" s="126"/>
      <c r="H37" s="126"/>
      <c r="I37" s="80"/>
      <c r="J37" s="80"/>
      <c r="K37" s="80"/>
      <c r="L37" s="80"/>
      <c r="M37" s="80"/>
      <c r="N37" s="80"/>
      <c r="O37" s="80"/>
      <c r="P37" s="80"/>
      <c r="Q37" s="80"/>
      <c r="R37" s="80"/>
      <c r="S37" s="80"/>
      <c r="T37" s="80"/>
      <c r="U37" s="80"/>
      <c r="V37" s="80"/>
      <c r="W37" s="80"/>
      <c r="X37" s="80"/>
      <c r="Y37" s="80"/>
      <c r="Z37" s="80"/>
    </row>
    <row r="38" spans="1:26" x14ac:dyDescent="0.25">
      <c r="A38" s="80" t="s">
        <v>430</v>
      </c>
      <c r="B38" s="80" t="s">
        <v>433</v>
      </c>
      <c r="C38" s="80"/>
      <c r="D38" s="80"/>
      <c r="E38" s="80"/>
      <c r="F38" s="80"/>
      <c r="G38" s="126"/>
      <c r="H38" s="126"/>
      <c r="I38" s="80"/>
      <c r="J38" s="80"/>
      <c r="K38" s="80"/>
      <c r="L38" s="80"/>
      <c r="M38" s="80"/>
      <c r="N38" s="80"/>
      <c r="O38" s="80"/>
      <c r="P38" s="80"/>
      <c r="Q38" s="80"/>
      <c r="R38" s="80"/>
      <c r="S38" s="80"/>
      <c r="T38" s="80"/>
      <c r="U38" s="80"/>
      <c r="V38" s="80"/>
      <c r="W38" s="80"/>
      <c r="X38" s="80"/>
      <c r="Y38" s="80"/>
      <c r="Z38" s="80"/>
    </row>
    <row r="39" spans="1:26" x14ac:dyDescent="0.25">
      <c r="A39" s="80" t="s">
        <v>432</v>
      </c>
      <c r="B39" s="80" t="s">
        <v>433</v>
      </c>
      <c r="C39" s="80"/>
      <c r="D39" s="80"/>
      <c r="E39" s="80"/>
      <c r="F39" s="80"/>
      <c r="G39" s="126"/>
      <c r="H39" s="126"/>
      <c r="I39" s="80"/>
      <c r="J39" s="80"/>
      <c r="K39" s="80"/>
      <c r="L39" s="80"/>
      <c r="M39" s="80"/>
      <c r="N39" s="80"/>
      <c r="O39" s="80"/>
      <c r="P39" s="80"/>
      <c r="Q39" s="80"/>
      <c r="R39" s="80"/>
      <c r="S39" s="80"/>
      <c r="T39" s="80"/>
      <c r="U39" s="80"/>
      <c r="V39" s="80"/>
      <c r="W39" s="80"/>
      <c r="X39" s="80"/>
      <c r="Y39" s="80"/>
      <c r="Z39" s="80"/>
    </row>
    <row r="40" spans="1:26" x14ac:dyDescent="0.25">
      <c r="A40" s="80" t="s">
        <v>431</v>
      </c>
      <c r="B40" s="80" t="s">
        <v>433</v>
      </c>
      <c r="C40" s="83"/>
      <c r="D40" s="80"/>
      <c r="E40" s="80"/>
      <c r="F40" s="83"/>
      <c r="G40" s="126"/>
      <c r="H40" s="126"/>
      <c r="I40" s="80"/>
      <c r="J40" s="80"/>
      <c r="K40" s="80"/>
      <c r="L40" s="80"/>
      <c r="M40" s="80"/>
      <c r="N40" s="80"/>
      <c r="O40" s="80"/>
      <c r="P40" s="80"/>
      <c r="Q40" s="80"/>
      <c r="R40" s="80"/>
      <c r="S40" s="80"/>
      <c r="T40" s="80"/>
      <c r="U40" s="80"/>
      <c r="V40" s="80"/>
      <c r="W40" s="80"/>
      <c r="X40" s="80"/>
      <c r="Y40" s="80"/>
      <c r="Z40" s="80"/>
    </row>
    <row r="41" spans="1:26" x14ac:dyDescent="0.25">
      <c r="A41" s="80" t="s">
        <v>1067</v>
      </c>
      <c r="B41" s="80" t="s">
        <v>433</v>
      </c>
      <c r="C41" s="83" t="s">
        <v>285</v>
      </c>
      <c r="D41" s="80" t="s">
        <v>285</v>
      </c>
      <c r="E41" s="80" t="s">
        <v>79</v>
      </c>
      <c r="F41" s="83" t="s">
        <v>1068</v>
      </c>
      <c r="G41" s="126"/>
      <c r="H41" s="126"/>
      <c r="I41" s="80"/>
      <c r="J41" s="80"/>
      <c r="K41" s="80"/>
      <c r="L41" s="80"/>
      <c r="M41" s="80"/>
      <c r="N41" s="80"/>
      <c r="O41" s="80"/>
      <c r="P41" s="80"/>
      <c r="Q41" s="80"/>
      <c r="R41" s="80"/>
      <c r="S41" s="80"/>
      <c r="T41" s="80"/>
      <c r="U41" s="80"/>
      <c r="V41" s="80"/>
      <c r="W41" s="80"/>
      <c r="X41" s="80"/>
      <c r="Y41" s="80"/>
      <c r="Z41" s="80"/>
    </row>
    <row r="42" spans="1:26" x14ac:dyDescent="0.25">
      <c r="A42" s="80" t="s">
        <v>913</v>
      </c>
      <c r="B42" s="80" t="s">
        <v>914</v>
      </c>
      <c r="C42" s="83" t="s">
        <v>915</v>
      </c>
      <c r="D42" s="80" t="s">
        <v>916</v>
      </c>
      <c r="E42" s="80"/>
      <c r="F42" s="83"/>
      <c r="G42" s="126"/>
      <c r="H42" s="126"/>
      <c r="I42" s="80"/>
      <c r="J42" s="80"/>
      <c r="K42" s="80"/>
      <c r="L42" s="80"/>
      <c r="M42" s="80"/>
      <c r="N42" s="80"/>
      <c r="O42" s="80"/>
      <c r="P42" s="80"/>
      <c r="Q42" s="80"/>
      <c r="R42" s="80"/>
      <c r="S42" s="80"/>
      <c r="T42" s="80"/>
      <c r="U42" s="80"/>
      <c r="V42" s="80"/>
      <c r="W42" s="80"/>
      <c r="X42" s="80"/>
      <c r="Y42" s="80"/>
      <c r="Z42" s="80"/>
    </row>
    <row r="43" spans="1:26" x14ac:dyDescent="0.25">
      <c r="A43" s="80" t="s">
        <v>669</v>
      </c>
      <c r="B43" s="80" t="s">
        <v>914</v>
      </c>
      <c r="C43" s="83" t="s">
        <v>915</v>
      </c>
      <c r="D43" s="80" t="s">
        <v>917</v>
      </c>
      <c r="E43" s="80"/>
      <c r="F43" s="83"/>
      <c r="G43" s="126"/>
      <c r="H43" s="126"/>
      <c r="I43" s="80"/>
      <c r="J43" s="80"/>
      <c r="K43" s="80"/>
      <c r="L43" s="80"/>
      <c r="M43" s="80"/>
      <c r="N43" s="80"/>
      <c r="O43" s="80"/>
      <c r="P43" s="80"/>
      <c r="Q43" s="80"/>
      <c r="R43" s="80"/>
      <c r="S43" s="80"/>
      <c r="T43" s="80"/>
      <c r="U43" s="80"/>
      <c r="V43" s="80"/>
      <c r="W43" s="80"/>
      <c r="X43" s="80"/>
      <c r="Y43" s="80"/>
      <c r="Z43" s="80"/>
    </row>
    <row r="44" spans="1:26" x14ac:dyDescent="0.25">
      <c r="A44" s="80" t="s">
        <v>1234</v>
      </c>
      <c r="B44" s="80" t="s">
        <v>672</v>
      </c>
      <c r="C44" s="80" t="s">
        <v>915</v>
      </c>
      <c r="D44" s="80" t="s">
        <v>1235</v>
      </c>
      <c r="E44" s="80" t="s">
        <v>79</v>
      </c>
      <c r="F44" s="80" t="s">
        <v>1236</v>
      </c>
      <c r="G44" s="126"/>
      <c r="H44" s="126"/>
      <c r="I44" s="80"/>
      <c r="J44" s="80"/>
      <c r="K44" s="80"/>
      <c r="L44" s="80"/>
      <c r="M44" s="80"/>
      <c r="N44" s="80"/>
      <c r="O44" s="80"/>
      <c r="P44" s="80"/>
      <c r="Q44" s="80"/>
      <c r="R44" s="80"/>
      <c r="S44" s="80"/>
      <c r="T44" s="80"/>
      <c r="U44" s="80"/>
      <c r="V44" s="80"/>
      <c r="W44" s="80"/>
      <c r="X44" s="80"/>
      <c r="Y44" s="80"/>
      <c r="Z44" s="80"/>
    </row>
    <row r="45" spans="1:26" x14ac:dyDescent="0.25">
      <c r="A45" s="80" t="s">
        <v>1234</v>
      </c>
      <c r="B45" s="80" t="s">
        <v>1287</v>
      </c>
      <c r="C45" s="80" t="s">
        <v>915</v>
      </c>
      <c r="D45" s="80" t="s">
        <v>916</v>
      </c>
      <c r="E45" s="80" t="s">
        <v>79</v>
      </c>
      <c r="F45" s="80" t="s">
        <v>1288</v>
      </c>
      <c r="G45" s="126"/>
      <c r="H45" s="126"/>
      <c r="I45" s="80"/>
      <c r="J45" s="80"/>
      <c r="K45" s="80"/>
      <c r="L45" s="80"/>
      <c r="M45" s="80"/>
      <c r="N45" s="80"/>
      <c r="O45" s="80"/>
      <c r="P45" s="80"/>
      <c r="Q45" s="80"/>
      <c r="R45" s="80"/>
      <c r="S45" s="80"/>
      <c r="T45" s="80"/>
      <c r="U45" s="80"/>
      <c r="V45" s="80"/>
      <c r="W45" s="80"/>
      <c r="X45" s="80"/>
      <c r="Y45" s="80"/>
      <c r="Z45" s="80"/>
    </row>
    <row r="46" spans="1:26" x14ac:dyDescent="0.25">
      <c r="A46" s="80" t="s">
        <v>1234</v>
      </c>
      <c r="B46" s="80" t="s">
        <v>1287</v>
      </c>
      <c r="C46" s="80" t="s">
        <v>915</v>
      </c>
      <c r="D46" s="80" t="s">
        <v>917</v>
      </c>
      <c r="E46" s="80" t="s">
        <v>79</v>
      </c>
      <c r="F46" s="80" t="s">
        <v>1288</v>
      </c>
      <c r="G46" s="126"/>
      <c r="H46" s="126"/>
      <c r="I46" s="80"/>
      <c r="J46" s="80"/>
      <c r="K46" s="80"/>
      <c r="L46" s="80"/>
      <c r="M46" s="80"/>
      <c r="N46" s="80"/>
      <c r="O46" s="80"/>
      <c r="P46" s="80"/>
      <c r="Q46" s="80"/>
      <c r="R46" s="80"/>
      <c r="S46" s="80"/>
      <c r="T46" s="80"/>
      <c r="U46" s="80"/>
      <c r="V46" s="80"/>
      <c r="W46" s="80"/>
      <c r="X46" s="80"/>
      <c r="Y46" s="80"/>
      <c r="Z46" s="80"/>
    </row>
    <row r="47" spans="1:26" x14ac:dyDescent="0.25">
      <c r="A47" s="80" t="s">
        <v>1234</v>
      </c>
      <c r="B47" s="80" t="s">
        <v>1287</v>
      </c>
      <c r="C47" s="80" t="s">
        <v>915</v>
      </c>
      <c r="D47" s="80" t="s">
        <v>1891</v>
      </c>
      <c r="E47" s="80" t="s">
        <v>79</v>
      </c>
      <c r="F47" s="80" t="s">
        <v>1892</v>
      </c>
      <c r="G47" s="126"/>
      <c r="H47" s="126"/>
      <c r="I47" s="80"/>
      <c r="J47" s="80"/>
      <c r="K47" s="80"/>
      <c r="L47" s="80"/>
      <c r="M47" s="80"/>
      <c r="N47" s="80"/>
      <c r="O47" s="80"/>
      <c r="P47" s="80"/>
      <c r="Q47" s="80"/>
      <c r="R47" s="80"/>
      <c r="S47" s="80"/>
      <c r="T47" s="80"/>
      <c r="U47" s="80"/>
      <c r="V47" s="80"/>
      <c r="W47" s="80"/>
      <c r="X47" s="80"/>
      <c r="Y47" s="80"/>
      <c r="Z47" s="80"/>
    </row>
    <row r="48" spans="1:26" ht="45" x14ac:dyDescent="0.25">
      <c r="A48" s="80" t="s">
        <v>1289</v>
      </c>
      <c r="B48" s="80" t="s">
        <v>75</v>
      </c>
      <c r="C48" s="80" t="s">
        <v>1290</v>
      </c>
      <c r="D48" s="80" t="s">
        <v>1291</v>
      </c>
      <c r="E48" s="80" t="s">
        <v>79</v>
      </c>
      <c r="F48" s="83" t="s">
        <v>1292</v>
      </c>
      <c r="G48" s="126"/>
      <c r="H48" s="126"/>
      <c r="I48" s="80"/>
      <c r="J48" s="80"/>
      <c r="K48" s="80"/>
      <c r="L48" s="80"/>
      <c r="M48" s="80"/>
      <c r="N48" s="80"/>
      <c r="O48" s="80"/>
      <c r="P48" s="80"/>
      <c r="Q48" s="80"/>
      <c r="R48" s="80"/>
      <c r="S48" s="80"/>
      <c r="T48" s="80"/>
      <c r="U48" s="80"/>
      <c r="V48" s="80"/>
      <c r="W48" s="80"/>
      <c r="X48" s="80"/>
      <c r="Y48" s="80"/>
      <c r="Z48" s="80"/>
    </row>
    <row r="49" spans="1:26" x14ac:dyDescent="0.25">
      <c r="A49" s="80" t="s">
        <v>698</v>
      </c>
      <c r="B49" s="80" t="s">
        <v>75</v>
      </c>
      <c r="C49" s="80"/>
      <c r="D49" s="80"/>
      <c r="E49" s="80"/>
      <c r="F49" s="83"/>
      <c r="G49" s="126"/>
      <c r="H49" s="126"/>
      <c r="I49" s="80"/>
      <c r="J49" s="80"/>
      <c r="K49" s="80"/>
      <c r="L49" s="80"/>
      <c r="M49" s="80"/>
      <c r="N49" s="80"/>
      <c r="O49" s="80"/>
      <c r="P49" s="80"/>
      <c r="Q49" s="80"/>
      <c r="R49" s="80"/>
      <c r="S49" s="80"/>
      <c r="T49" s="80"/>
      <c r="U49" s="80"/>
      <c r="V49" s="80"/>
      <c r="W49" s="80"/>
      <c r="X49" s="80"/>
      <c r="Y49" s="80"/>
      <c r="Z49" s="80"/>
    </row>
    <row r="50" spans="1:26" ht="60" x14ac:dyDescent="0.25">
      <c r="A50" s="80" t="s">
        <v>1695</v>
      </c>
      <c r="B50" s="80" t="s">
        <v>1259</v>
      </c>
      <c r="C50" s="80" t="s">
        <v>1248</v>
      </c>
      <c r="D50" s="80" t="s">
        <v>1696</v>
      </c>
      <c r="E50" s="80" t="s">
        <v>79</v>
      </c>
      <c r="F50" s="83" t="s">
        <v>1697</v>
      </c>
      <c r="G50" s="126"/>
      <c r="H50" s="126"/>
      <c r="I50" s="80"/>
      <c r="J50" s="80"/>
      <c r="K50" s="80"/>
      <c r="L50" s="80"/>
      <c r="M50" s="80"/>
      <c r="N50" s="80"/>
      <c r="O50" s="80"/>
      <c r="P50" s="80"/>
      <c r="Q50" s="80"/>
      <c r="R50" s="80"/>
      <c r="S50" s="80"/>
      <c r="T50" s="80"/>
      <c r="U50" s="80"/>
      <c r="V50" s="80"/>
      <c r="W50" s="80"/>
      <c r="X50" s="80"/>
      <c r="Y50" s="80"/>
      <c r="Z50" s="80"/>
    </row>
    <row r="51" spans="1:26" x14ac:dyDescent="0.25">
      <c r="A51" s="80" t="s">
        <v>521</v>
      </c>
      <c r="B51" s="80" t="s">
        <v>803</v>
      </c>
      <c r="C51" s="80"/>
      <c r="D51" s="80"/>
      <c r="E51" s="80"/>
      <c r="F51" s="80"/>
      <c r="G51" s="126"/>
      <c r="H51" s="126"/>
      <c r="I51" s="80"/>
      <c r="J51" s="80"/>
      <c r="K51" s="80"/>
      <c r="L51" s="80"/>
      <c r="M51" s="80"/>
      <c r="N51" s="80"/>
      <c r="O51" s="80"/>
      <c r="P51" s="80"/>
      <c r="Q51" s="80"/>
      <c r="R51" s="80"/>
      <c r="S51" s="80"/>
      <c r="T51" s="80"/>
      <c r="U51" s="80"/>
      <c r="V51" s="80"/>
      <c r="W51" s="80"/>
      <c r="X51" s="80"/>
      <c r="Y51" s="80"/>
      <c r="Z51" s="80"/>
    </row>
    <row r="52" spans="1:26" x14ac:dyDescent="0.25">
      <c r="A52" s="80" t="s">
        <v>337</v>
      </c>
      <c r="B52" s="80" t="s">
        <v>339</v>
      </c>
      <c r="C52" s="83"/>
      <c r="D52" s="80"/>
      <c r="E52" s="80"/>
      <c r="F52" s="83"/>
      <c r="G52" s="126"/>
      <c r="H52" s="126"/>
      <c r="I52" s="80"/>
      <c r="J52" s="80"/>
      <c r="K52" s="80"/>
      <c r="L52" s="80"/>
      <c r="M52" s="80"/>
      <c r="N52" s="80"/>
      <c r="O52" s="80"/>
      <c r="P52" s="80"/>
      <c r="Q52" s="80"/>
      <c r="R52" s="80"/>
      <c r="S52" s="80"/>
      <c r="T52" s="80"/>
      <c r="U52" s="80"/>
      <c r="V52" s="80"/>
      <c r="W52" s="80"/>
      <c r="X52" s="80"/>
      <c r="Y52" s="80"/>
      <c r="Z52" s="80"/>
    </row>
    <row r="53" spans="1:26" x14ac:dyDescent="0.25">
      <c r="A53" s="80" t="s">
        <v>387</v>
      </c>
      <c r="B53" s="80" t="s">
        <v>314</v>
      </c>
      <c r="C53" s="83" t="s">
        <v>285</v>
      </c>
      <c r="D53" s="80" t="s">
        <v>285</v>
      </c>
      <c r="E53" s="80" t="s">
        <v>79</v>
      </c>
      <c r="F53" s="83" t="s">
        <v>1541</v>
      </c>
      <c r="G53" s="126"/>
      <c r="H53" s="126"/>
      <c r="I53" s="80"/>
      <c r="J53" s="80"/>
      <c r="K53" s="80"/>
      <c r="L53" s="80"/>
      <c r="M53" s="80"/>
      <c r="N53" s="80"/>
      <c r="O53" s="80"/>
      <c r="P53" s="80"/>
      <c r="Q53" s="80"/>
      <c r="R53" s="80"/>
      <c r="S53" s="80"/>
      <c r="T53" s="80"/>
      <c r="U53" s="80"/>
      <c r="V53" s="80"/>
      <c r="W53" s="80"/>
      <c r="X53" s="80"/>
      <c r="Y53" s="80"/>
      <c r="Z53" s="80"/>
    </row>
    <row r="54" spans="1:26" x14ac:dyDescent="0.25">
      <c r="A54" s="80" t="s">
        <v>510</v>
      </c>
      <c r="B54" s="80" t="s">
        <v>918</v>
      </c>
      <c r="C54" s="83" t="s">
        <v>525</v>
      </c>
      <c r="D54" s="80" t="s">
        <v>79</v>
      </c>
      <c r="E54" s="80" t="s">
        <v>179</v>
      </c>
      <c r="F54" s="83" t="s">
        <v>1546</v>
      </c>
      <c r="G54" s="126"/>
      <c r="H54" s="126"/>
      <c r="I54" s="80"/>
      <c r="J54" s="80"/>
      <c r="K54" s="80"/>
      <c r="L54" s="80"/>
      <c r="M54" s="80"/>
      <c r="N54" s="80"/>
      <c r="O54" s="80"/>
      <c r="P54" s="80"/>
      <c r="Q54" s="80"/>
      <c r="R54" s="80"/>
      <c r="S54" s="80"/>
      <c r="T54" s="80"/>
      <c r="U54" s="80"/>
      <c r="V54" s="80"/>
      <c r="W54" s="80"/>
      <c r="X54" s="80"/>
      <c r="Y54" s="80"/>
      <c r="Z54" s="80"/>
    </row>
    <row r="55" spans="1:26" x14ac:dyDescent="0.25">
      <c r="A55" s="80" t="s">
        <v>511</v>
      </c>
      <c r="B55" s="80" t="s">
        <v>918</v>
      </c>
      <c r="C55" s="83" t="s">
        <v>525</v>
      </c>
      <c r="D55" s="80" t="s">
        <v>79</v>
      </c>
      <c r="E55" s="80" t="s">
        <v>180</v>
      </c>
      <c r="F55" s="83" t="s">
        <v>1546</v>
      </c>
      <c r="G55" s="126"/>
      <c r="H55" s="126"/>
      <c r="I55" s="80"/>
      <c r="J55" s="80"/>
      <c r="K55" s="80"/>
      <c r="L55" s="80"/>
      <c r="M55" s="80"/>
      <c r="N55" s="80"/>
      <c r="O55" s="80"/>
      <c r="P55" s="80"/>
      <c r="Q55" s="80"/>
      <c r="R55" s="80"/>
      <c r="S55" s="80"/>
      <c r="T55" s="80"/>
      <c r="U55" s="80"/>
      <c r="V55" s="80"/>
      <c r="W55" s="80"/>
      <c r="X55" s="80"/>
      <c r="Y55" s="80"/>
      <c r="Z55" s="80"/>
    </row>
    <row r="56" spans="1:26" x14ac:dyDescent="0.25">
      <c r="A56" s="80" t="s">
        <v>512</v>
      </c>
      <c r="B56" s="80" t="s">
        <v>918</v>
      </c>
      <c r="C56" s="80" t="s">
        <v>525</v>
      </c>
      <c r="D56" s="80" t="s">
        <v>79</v>
      </c>
      <c r="E56" s="80" t="s">
        <v>181</v>
      </c>
      <c r="F56" s="80" t="s">
        <v>1546</v>
      </c>
      <c r="G56" s="126"/>
      <c r="H56" s="126"/>
      <c r="I56" s="80"/>
      <c r="J56" s="80"/>
      <c r="K56" s="80"/>
      <c r="L56" s="80"/>
      <c r="M56" s="80"/>
      <c r="N56" s="80"/>
      <c r="O56" s="80"/>
      <c r="P56" s="80"/>
      <c r="Q56" s="80"/>
      <c r="R56" s="80"/>
      <c r="S56" s="80"/>
      <c r="T56" s="80"/>
      <c r="U56" s="80"/>
      <c r="V56" s="80"/>
      <c r="W56" s="80"/>
      <c r="X56" s="80"/>
      <c r="Y56" s="80"/>
      <c r="Z56" s="80"/>
    </row>
    <row r="57" spans="1:26" x14ac:dyDescent="0.25">
      <c r="A57" s="80" t="s">
        <v>513</v>
      </c>
      <c r="B57" s="80" t="s">
        <v>918</v>
      </c>
      <c r="C57" s="83" t="s">
        <v>525</v>
      </c>
      <c r="D57" s="80" t="s">
        <v>79</v>
      </c>
      <c r="E57" s="80" t="s">
        <v>182</v>
      </c>
      <c r="F57" s="83" t="s">
        <v>1546</v>
      </c>
      <c r="G57" s="126"/>
      <c r="H57" s="126"/>
      <c r="I57" s="80"/>
      <c r="J57" s="80"/>
      <c r="K57" s="80"/>
      <c r="L57" s="80"/>
      <c r="M57" s="80"/>
      <c r="N57" s="80"/>
      <c r="O57" s="80"/>
      <c r="P57" s="80"/>
      <c r="Q57" s="80"/>
      <c r="R57" s="80"/>
      <c r="S57" s="80"/>
      <c r="T57" s="80"/>
      <c r="U57" s="80"/>
      <c r="V57" s="80"/>
      <c r="W57" s="80"/>
      <c r="X57" s="80"/>
      <c r="Y57" s="80"/>
      <c r="Z57" s="80"/>
    </row>
    <row r="58" spans="1:26" x14ac:dyDescent="0.25">
      <c r="A58" s="80" t="s">
        <v>514</v>
      </c>
      <c r="B58" s="80" t="s">
        <v>918</v>
      </c>
      <c r="C58" s="80" t="s">
        <v>525</v>
      </c>
      <c r="D58" s="80" t="s">
        <v>79</v>
      </c>
      <c r="E58" s="80" t="s">
        <v>183</v>
      </c>
      <c r="F58" s="80" t="s">
        <v>1546</v>
      </c>
      <c r="G58" s="126"/>
      <c r="H58" s="126"/>
      <c r="I58" s="80"/>
      <c r="J58" s="80"/>
      <c r="K58" s="80"/>
      <c r="L58" s="80"/>
      <c r="M58" s="80"/>
      <c r="N58" s="80"/>
      <c r="O58" s="80"/>
      <c r="P58" s="80"/>
      <c r="Q58" s="80"/>
      <c r="R58" s="80"/>
      <c r="S58" s="80"/>
      <c r="T58" s="80"/>
      <c r="U58" s="80"/>
      <c r="V58" s="80"/>
      <c r="W58" s="80"/>
      <c r="X58" s="80"/>
      <c r="Y58" s="80"/>
      <c r="Z58" s="80"/>
    </row>
    <row r="59" spans="1:26" ht="30" x14ac:dyDescent="0.25">
      <c r="A59" s="80" t="s">
        <v>1160</v>
      </c>
      <c r="B59" s="80" t="s">
        <v>1155</v>
      </c>
      <c r="C59" s="83" t="s">
        <v>1156</v>
      </c>
      <c r="D59" s="80" t="s">
        <v>1157</v>
      </c>
      <c r="E59" s="80" t="s">
        <v>79</v>
      </c>
      <c r="F59" s="83" t="s">
        <v>1161</v>
      </c>
      <c r="G59" s="126"/>
      <c r="H59" s="126"/>
      <c r="I59" s="80"/>
      <c r="J59" s="80"/>
      <c r="K59" s="80"/>
      <c r="L59" s="80"/>
      <c r="M59" s="80"/>
      <c r="N59" s="80"/>
      <c r="O59" s="80"/>
      <c r="P59" s="80"/>
      <c r="Q59" s="80"/>
      <c r="R59" s="80"/>
      <c r="S59" s="80"/>
      <c r="T59" s="80"/>
      <c r="U59" s="80"/>
      <c r="V59" s="80"/>
      <c r="W59" s="80"/>
      <c r="X59" s="80"/>
      <c r="Y59" s="80"/>
      <c r="Z59" s="80"/>
    </row>
    <row r="60" spans="1:26" x14ac:dyDescent="0.25">
      <c r="A60" s="80" t="s">
        <v>50</v>
      </c>
      <c r="B60" s="80" t="s">
        <v>77</v>
      </c>
      <c r="C60" s="80"/>
      <c r="D60" s="80"/>
      <c r="E60" s="80"/>
      <c r="F60" s="80"/>
      <c r="G60" s="126"/>
      <c r="H60" s="126"/>
      <c r="I60" s="80"/>
      <c r="J60" s="80"/>
      <c r="K60" s="80"/>
      <c r="L60" s="80"/>
      <c r="M60" s="80"/>
      <c r="N60" s="80"/>
      <c r="O60" s="80"/>
      <c r="P60" s="80"/>
      <c r="Q60" s="80"/>
      <c r="R60" s="80"/>
      <c r="S60" s="80"/>
      <c r="T60" s="80"/>
      <c r="U60" s="80"/>
      <c r="V60" s="80"/>
      <c r="W60" s="80"/>
      <c r="X60" s="80"/>
      <c r="Y60" s="80"/>
      <c r="Z60" s="80"/>
    </row>
    <row r="61" spans="1:26" x14ac:dyDescent="0.25">
      <c r="A61" s="80" t="s">
        <v>819</v>
      </c>
      <c r="B61" s="80" t="s">
        <v>944</v>
      </c>
      <c r="C61" s="80"/>
      <c r="D61" s="80"/>
      <c r="E61" s="80"/>
      <c r="F61" s="80"/>
      <c r="G61" s="126"/>
      <c r="H61" s="126"/>
      <c r="I61" s="80"/>
      <c r="J61" s="80"/>
      <c r="K61" s="80"/>
      <c r="L61" s="80"/>
      <c r="M61" s="80"/>
      <c r="N61" s="80"/>
      <c r="O61" s="80"/>
      <c r="P61" s="80"/>
      <c r="Q61" s="80"/>
      <c r="R61" s="80"/>
      <c r="S61" s="80"/>
      <c r="T61" s="80"/>
      <c r="U61" s="80"/>
      <c r="V61" s="80"/>
      <c r="W61" s="80"/>
      <c r="X61" s="80"/>
      <c r="Y61" s="80"/>
      <c r="Z61" s="80"/>
    </row>
    <row r="62" spans="1:26" x14ac:dyDescent="0.25">
      <c r="A62" s="80" t="s">
        <v>957</v>
      </c>
      <c r="B62" s="80" t="s">
        <v>187</v>
      </c>
      <c r="C62" s="83" t="s">
        <v>956</v>
      </c>
      <c r="D62" s="80" t="s">
        <v>958</v>
      </c>
      <c r="E62" s="80"/>
      <c r="F62" s="83" t="s">
        <v>959</v>
      </c>
      <c r="G62" s="126"/>
      <c r="H62" s="126"/>
      <c r="I62" s="80"/>
      <c r="J62" s="80"/>
      <c r="K62" s="80"/>
      <c r="L62" s="80"/>
      <c r="M62" s="80"/>
      <c r="N62" s="80"/>
      <c r="O62" s="80"/>
      <c r="P62" s="80"/>
      <c r="Q62" s="80"/>
      <c r="R62" s="80"/>
      <c r="S62" s="80"/>
      <c r="T62" s="80"/>
      <c r="U62" s="80"/>
      <c r="V62" s="80"/>
      <c r="W62" s="80"/>
      <c r="X62" s="80"/>
      <c r="Y62" s="80"/>
      <c r="Z62" s="80"/>
    </row>
    <row r="63" spans="1:26" x14ac:dyDescent="0.25">
      <c r="A63" s="80" t="s">
        <v>977</v>
      </c>
      <c r="B63" s="80" t="s">
        <v>971</v>
      </c>
      <c r="C63" s="83" t="s">
        <v>978</v>
      </c>
      <c r="D63" s="80" t="s">
        <v>979</v>
      </c>
      <c r="E63" s="80"/>
      <c r="F63" s="83"/>
      <c r="G63" s="126"/>
      <c r="H63" s="126"/>
      <c r="I63" s="80"/>
      <c r="J63" s="80"/>
      <c r="K63" s="80"/>
      <c r="L63" s="80"/>
      <c r="M63" s="80"/>
      <c r="N63" s="80"/>
      <c r="O63" s="80"/>
      <c r="P63" s="80"/>
      <c r="Q63" s="80"/>
      <c r="R63" s="80"/>
      <c r="S63" s="80"/>
      <c r="T63" s="80"/>
      <c r="U63" s="80"/>
      <c r="V63" s="80"/>
      <c r="W63" s="80"/>
      <c r="X63" s="80"/>
      <c r="Y63" s="80"/>
      <c r="Z63" s="80"/>
    </row>
    <row r="64" spans="1:26" ht="45" x14ac:dyDescent="0.25">
      <c r="A64" s="80" t="s">
        <v>980</v>
      </c>
      <c r="B64" s="80" t="s">
        <v>971</v>
      </c>
      <c r="C64" s="83" t="s">
        <v>972</v>
      </c>
      <c r="D64" s="80" t="s">
        <v>973</v>
      </c>
      <c r="E64" s="80"/>
      <c r="F64" s="83" t="s">
        <v>974</v>
      </c>
      <c r="G64" s="126"/>
      <c r="H64" s="126"/>
      <c r="I64" s="80"/>
      <c r="J64" s="80"/>
      <c r="K64" s="80"/>
      <c r="L64" s="80"/>
      <c r="M64" s="80"/>
      <c r="N64" s="80"/>
      <c r="O64" s="80"/>
      <c r="P64" s="80"/>
      <c r="Q64" s="80"/>
      <c r="R64" s="80"/>
      <c r="S64" s="80"/>
      <c r="T64" s="80"/>
      <c r="U64" s="80"/>
      <c r="V64" s="80"/>
      <c r="W64" s="80"/>
      <c r="X64" s="80"/>
      <c r="Y64" s="80"/>
      <c r="Z64" s="80"/>
    </row>
    <row r="65" spans="1:26" x14ac:dyDescent="0.25">
      <c r="A65" s="80" t="s">
        <v>1293</v>
      </c>
      <c r="B65" s="80" t="s">
        <v>803</v>
      </c>
      <c r="C65" s="80" t="s">
        <v>927</v>
      </c>
      <c r="D65" s="80" t="s">
        <v>928</v>
      </c>
      <c r="E65" s="80" t="s">
        <v>79</v>
      </c>
      <c r="F65" s="80" t="s">
        <v>1294</v>
      </c>
      <c r="G65" s="126"/>
      <c r="H65" s="126"/>
      <c r="I65" s="80"/>
      <c r="J65" s="80"/>
      <c r="K65" s="80"/>
      <c r="L65" s="80"/>
      <c r="M65" s="80"/>
      <c r="N65" s="80"/>
      <c r="O65" s="80"/>
      <c r="P65" s="80"/>
      <c r="Q65" s="80"/>
      <c r="R65" s="80"/>
      <c r="S65" s="80"/>
      <c r="T65" s="80"/>
      <c r="U65" s="80"/>
      <c r="V65" s="80"/>
      <c r="W65" s="80"/>
      <c r="X65" s="80"/>
      <c r="Y65" s="80"/>
      <c r="Z65" s="80"/>
    </row>
    <row r="66" spans="1:26" x14ac:dyDescent="0.25">
      <c r="A66" s="80" t="s">
        <v>1295</v>
      </c>
      <c r="B66" s="80" t="s">
        <v>1296</v>
      </c>
      <c r="C66" s="80" t="s">
        <v>1143</v>
      </c>
      <c r="D66" s="80" t="s">
        <v>1297</v>
      </c>
      <c r="E66" s="80" t="s">
        <v>79</v>
      </c>
      <c r="F66" s="80" t="s">
        <v>1298</v>
      </c>
      <c r="G66" s="126"/>
      <c r="H66" s="126"/>
      <c r="I66" s="80"/>
      <c r="J66" s="80"/>
      <c r="K66" s="80"/>
      <c r="L66" s="80"/>
      <c r="M66" s="80"/>
      <c r="N66" s="80"/>
      <c r="O66" s="80"/>
      <c r="P66" s="80"/>
      <c r="Q66" s="80"/>
      <c r="R66" s="80"/>
      <c r="S66" s="80"/>
      <c r="T66" s="80"/>
      <c r="U66" s="80"/>
      <c r="V66" s="80"/>
      <c r="W66" s="80"/>
      <c r="X66" s="80"/>
      <c r="Y66" s="80"/>
      <c r="Z66" s="80"/>
    </row>
    <row r="67" spans="1:26" x14ac:dyDescent="0.25">
      <c r="A67" s="80" t="s">
        <v>1299</v>
      </c>
      <c r="B67" s="80" t="s">
        <v>465</v>
      </c>
      <c r="C67" s="80" t="s">
        <v>1143</v>
      </c>
      <c r="D67" s="80" t="s">
        <v>1300</v>
      </c>
      <c r="E67" s="80" t="s">
        <v>79</v>
      </c>
      <c r="F67" s="80" t="s">
        <v>1301</v>
      </c>
      <c r="G67" s="126"/>
      <c r="H67" s="126"/>
      <c r="I67" s="80"/>
      <c r="J67" s="80"/>
      <c r="K67" s="80"/>
      <c r="L67" s="80"/>
      <c r="M67" s="80"/>
      <c r="N67" s="80"/>
      <c r="O67" s="80"/>
      <c r="P67" s="80"/>
      <c r="Q67" s="80"/>
      <c r="R67" s="80"/>
      <c r="S67" s="80"/>
      <c r="T67" s="80"/>
      <c r="U67" s="80"/>
      <c r="V67" s="80"/>
      <c r="W67" s="80"/>
      <c r="X67" s="80"/>
      <c r="Y67" s="80"/>
      <c r="Z67" s="80"/>
    </row>
    <row r="68" spans="1:26" x14ac:dyDescent="0.25">
      <c r="A68" s="80" t="s">
        <v>1647</v>
      </c>
      <c r="B68" s="80" t="s">
        <v>465</v>
      </c>
      <c r="C68" s="80" t="s">
        <v>1143</v>
      </c>
      <c r="D68" s="80" t="s">
        <v>1648</v>
      </c>
      <c r="E68" s="80" t="s">
        <v>79</v>
      </c>
      <c r="F68" s="80" t="s">
        <v>1649</v>
      </c>
      <c r="G68" s="126"/>
      <c r="H68" s="126"/>
      <c r="I68" s="80"/>
      <c r="J68" s="80"/>
      <c r="K68" s="80"/>
      <c r="L68" s="80"/>
      <c r="M68" s="80"/>
      <c r="N68" s="80"/>
      <c r="O68" s="80"/>
      <c r="P68" s="80"/>
      <c r="Q68" s="80"/>
      <c r="R68" s="80"/>
      <c r="S68" s="80"/>
      <c r="T68" s="80"/>
      <c r="U68" s="80"/>
      <c r="V68" s="80"/>
      <c r="W68" s="80"/>
      <c r="X68" s="80"/>
      <c r="Y68" s="80"/>
      <c r="Z68" s="80"/>
    </row>
    <row r="69" spans="1:26" x14ac:dyDescent="0.25">
      <c r="A69" s="80" t="s">
        <v>542</v>
      </c>
      <c r="B69" s="80" t="s">
        <v>437</v>
      </c>
      <c r="C69" s="80"/>
      <c r="D69" s="80"/>
      <c r="E69" s="80"/>
      <c r="F69" s="80"/>
      <c r="G69" s="126"/>
      <c r="H69" s="126"/>
      <c r="I69" s="80"/>
      <c r="J69" s="80"/>
      <c r="K69" s="80"/>
      <c r="L69" s="80"/>
      <c r="M69" s="80"/>
      <c r="N69" s="80"/>
      <c r="O69" s="80"/>
      <c r="P69" s="80"/>
      <c r="Q69" s="80"/>
      <c r="R69" s="80"/>
      <c r="S69" s="80"/>
      <c r="T69" s="80"/>
      <c r="U69" s="80"/>
      <c r="V69" s="80"/>
      <c r="W69" s="80"/>
      <c r="X69" s="80"/>
      <c r="Y69" s="80"/>
      <c r="Z69" s="80"/>
    </row>
    <row r="70" spans="1:26" x14ac:dyDescent="0.25">
      <c r="A70" s="80" t="s">
        <v>1302</v>
      </c>
      <c r="B70" s="80" t="s">
        <v>437</v>
      </c>
      <c r="C70" s="80" t="s">
        <v>1001</v>
      </c>
      <c r="D70" s="80" t="s">
        <v>1303</v>
      </c>
      <c r="E70" s="80" t="s">
        <v>79</v>
      </c>
      <c r="F70" s="80" t="s">
        <v>1304</v>
      </c>
      <c r="G70" s="126"/>
      <c r="H70" s="126"/>
      <c r="I70" s="80"/>
      <c r="J70" s="80"/>
      <c r="K70" s="80"/>
      <c r="L70" s="80"/>
      <c r="M70" s="80"/>
      <c r="N70" s="80"/>
      <c r="O70" s="80"/>
      <c r="P70" s="80"/>
      <c r="Q70" s="80"/>
      <c r="R70" s="80"/>
      <c r="S70" s="80"/>
      <c r="T70" s="80"/>
      <c r="U70" s="80"/>
      <c r="V70" s="80"/>
      <c r="W70" s="80"/>
      <c r="X70" s="80"/>
      <c r="Y70" s="80"/>
      <c r="Z70" s="80"/>
    </row>
    <row r="71" spans="1:26" x14ac:dyDescent="0.25">
      <c r="A71" s="80" t="s">
        <v>1305</v>
      </c>
      <c r="B71" s="80" t="s">
        <v>803</v>
      </c>
      <c r="C71" s="80" t="s">
        <v>1306</v>
      </c>
      <c r="D71" s="80" t="s">
        <v>1307</v>
      </c>
      <c r="E71" s="80" t="s">
        <v>79</v>
      </c>
      <c r="F71" s="80" t="s">
        <v>1308</v>
      </c>
      <c r="G71" s="126"/>
      <c r="H71" s="126"/>
      <c r="I71" s="80"/>
      <c r="J71" s="80"/>
      <c r="K71" s="80"/>
      <c r="L71" s="80"/>
      <c r="M71" s="80"/>
      <c r="N71" s="80"/>
      <c r="O71" s="80"/>
      <c r="P71" s="80"/>
      <c r="Q71" s="80"/>
      <c r="R71" s="80"/>
      <c r="S71" s="80"/>
      <c r="T71" s="80"/>
      <c r="U71" s="80"/>
      <c r="V71" s="80"/>
      <c r="W71" s="80"/>
      <c r="X71" s="80"/>
      <c r="Y71" s="80"/>
      <c r="Z71" s="80"/>
    </row>
    <row r="72" spans="1:26" x14ac:dyDescent="0.25">
      <c r="A72" s="80" t="s">
        <v>1309</v>
      </c>
      <c r="B72" s="80" t="s">
        <v>803</v>
      </c>
      <c r="C72" s="80" t="s">
        <v>1306</v>
      </c>
      <c r="D72" s="80" t="s">
        <v>1310</v>
      </c>
      <c r="E72" s="80" t="s">
        <v>79</v>
      </c>
      <c r="F72" s="80" t="s">
        <v>1311</v>
      </c>
      <c r="G72" s="126"/>
      <c r="H72" s="126"/>
      <c r="I72" s="80"/>
      <c r="J72" s="80"/>
      <c r="K72" s="80"/>
      <c r="L72" s="80"/>
      <c r="M72" s="80"/>
      <c r="N72" s="80"/>
      <c r="O72" s="80"/>
      <c r="P72" s="80"/>
      <c r="Q72" s="80"/>
      <c r="R72" s="80"/>
      <c r="S72" s="80"/>
      <c r="T72" s="80"/>
      <c r="U72" s="80"/>
      <c r="V72" s="80"/>
      <c r="W72" s="80"/>
      <c r="X72" s="80"/>
      <c r="Y72" s="80"/>
      <c r="Z72" s="80"/>
    </row>
    <row r="73" spans="1:26" x14ac:dyDescent="0.25">
      <c r="A73" s="80" t="s">
        <v>1821</v>
      </c>
      <c r="B73" s="80" t="s">
        <v>437</v>
      </c>
      <c r="C73" s="80" t="s">
        <v>1143</v>
      </c>
      <c r="D73" s="80" t="s">
        <v>1822</v>
      </c>
      <c r="E73" s="80" t="s">
        <v>1823</v>
      </c>
      <c r="F73" s="80" t="s">
        <v>1824</v>
      </c>
      <c r="G73" s="126"/>
      <c r="H73" s="126"/>
      <c r="I73" s="80"/>
      <c r="J73" s="80"/>
      <c r="K73" s="80"/>
      <c r="L73" s="80"/>
      <c r="M73" s="80"/>
      <c r="N73" s="80"/>
      <c r="O73" s="80"/>
      <c r="P73" s="80"/>
      <c r="Q73" s="80"/>
      <c r="R73" s="80"/>
      <c r="S73" s="80"/>
      <c r="T73" s="80"/>
      <c r="U73" s="80"/>
      <c r="V73" s="80"/>
      <c r="W73" s="80"/>
      <c r="X73" s="80"/>
      <c r="Y73" s="80"/>
      <c r="Z73" s="80"/>
    </row>
    <row r="74" spans="1:26" x14ac:dyDescent="0.25">
      <c r="A74" s="80" t="s">
        <v>1142</v>
      </c>
      <c r="B74" s="80" t="s">
        <v>437</v>
      </c>
      <c r="C74" s="80" t="s">
        <v>1143</v>
      </c>
      <c r="D74" s="80" t="s">
        <v>1144</v>
      </c>
      <c r="E74" s="80" t="s">
        <v>79</v>
      </c>
      <c r="F74" s="80" t="s">
        <v>1145</v>
      </c>
      <c r="G74" s="126"/>
      <c r="H74" s="126"/>
      <c r="I74" s="80"/>
      <c r="J74" s="80"/>
      <c r="K74" s="80"/>
      <c r="L74" s="80"/>
      <c r="M74" s="80"/>
      <c r="N74" s="80"/>
      <c r="O74" s="80"/>
      <c r="P74" s="80"/>
      <c r="Q74" s="80"/>
      <c r="R74" s="80"/>
      <c r="S74" s="80"/>
      <c r="T74" s="80"/>
      <c r="U74" s="80"/>
      <c r="V74" s="80"/>
      <c r="W74" s="80"/>
      <c r="X74" s="80"/>
      <c r="Y74" s="80"/>
      <c r="Z74" s="80"/>
    </row>
    <row r="75" spans="1:26" x14ac:dyDescent="0.25">
      <c r="A75" s="80" t="s">
        <v>460</v>
      </c>
      <c r="B75" s="80" t="s">
        <v>465</v>
      </c>
      <c r="C75" s="80"/>
      <c r="D75" s="80"/>
      <c r="E75" s="80"/>
      <c r="F75" s="80"/>
      <c r="G75" s="126"/>
      <c r="H75" s="126"/>
      <c r="I75" s="80"/>
      <c r="J75" s="80"/>
      <c r="K75" s="80"/>
      <c r="L75" s="80"/>
      <c r="M75" s="80"/>
      <c r="N75" s="80"/>
      <c r="O75" s="80"/>
      <c r="P75" s="80"/>
      <c r="Q75" s="80"/>
      <c r="R75" s="80"/>
      <c r="S75" s="80"/>
      <c r="T75" s="80"/>
      <c r="U75" s="80"/>
      <c r="V75" s="80"/>
      <c r="W75" s="80"/>
      <c r="X75" s="80"/>
      <c r="Y75" s="80"/>
      <c r="Z75" s="80"/>
    </row>
    <row r="76" spans="1:26" x14ac:dyDescent="0.25">
      <c r="A76" s="80" t="s">
        <v>462</v>
      </c>
      <c r="B76" s="80" t="s">
        <v>465</v>
      </c>
      <c r="C76" s="80"/>
      <c r="D76" s="80"/>
      <c r="E76" s="80"/>
      <c r="F76" s="80"/>
      <c r="G76" s="126"/>
      <c r="H76" s="126"/>
      <c r="I76" s="80"/>
      <c r="J76" s="80"/>
      <c r="K76" s="80"/>
      <c r="L76" s="80"/>
      <c r="M76" s="80"/>
      <c r="N76" s="80"/>
      <c r="O76" s="80"/>
      <c r="P76" s="80"/>
      <c r="Q76" s="80"/>
      <c r="R76" s="80"/>
      <c r="S76" s="80"/>
      <c r="T76" s="80"/>
      <c r="U76" s="80"/>
      <c r="V76" s="80"/>
      <c r="W76" s="80"/>
      <c r="X76" s="80"/>
      <c r="Y76" s="80"/>
      <c r="Z76" s="80"/>
    </row>
    <row r="77" spans="1:26" x14ac:dyDescent="0.25">
      <c r="A77" s="80" t="s">
        <v>459</v>
      </c>
      <c r="B77" s="80" t="s">
        <v>465</v>
      </c>
      <c r="C77" s="80"/>
      <c r="D77" s="80"/>
      <c r="E77" s="80"/>
      <c r="F77" s="80"/>
      <c r="G77" s="126"/>
      <c r="H77" s="126"/>
      <c r="I77" s="80"/>
      <c r="J77" s="80"/>
      <c r="K77" s="80"/>
      <c r="L77" s="80"/>
      <c r="M77" s="80"/>
      <c r="N77" s="80"/>
      <c r="O77" s="80"/>
      <c r="P77" s="80"/>
      <c r="Q77" s="80"/>
      <c r="R77" s="80"/>
      <c r="S77" s="80"/>
      <c r="T77" s="80"/>
      <c r="U77" s="80"/>
      <c r="V77" s="80"/>
      <c r="W77" s="80"/>
      <c r="X77" s="80"/>
      <c r="Y77" s="80"/>
      <c r="Z77" s="80"/>
    </row>
    <row r="78" spans="1:26" x14ac:dyDescent="0.25">
      <c r="A78" s="80" t="s">
        <v>461</v>
      </c>
      <c r="B78" s="80" t="s">
        <v>465</v>
      </c>
      <c r="C78" s="80" t="s">
        <v>1143</v>
      </c>
      <c r="D78" s="80" t="s">
        <v>79</v>
      </c>
      <c r="E78" s="80" t="s">
        <v>79</v>
      </c>
      <c r="F78" s="80" t="s">
        <v>1237</v>
      </c>
      <c r="G78" s="126"/>
      <c r="H78" s="126"/>
      <c r="I78" s="80"/>
      <c r="J78" s="80"/>
      <c r="K78" s="80"/>
      <c r="L78" s="80"/>
      <c r="M78" s="80"/>
      <c r="N78" s="80"/>
      <c r="O78" s="80"/>
      <c r="P78" s="80"/>
      <c r="Q78" s="80"/>
      <c r="R78" s="80"/>
      <c r="S78" s="80"/>
      <c r="T78" s="80"/>
      <c r="U78" s="80"/>
      <c r="V78" s="80"/>
      <c r="W78" s="80"/>
      <c r="X78" s="80"/>
      <c r="Y78" s="80"/>
      <c r="Z78" s="80"/>
    </row>
    <row r="79" spans="1:26" x14ac:dyDescent="0.25">
      <c r="A79" s="80" t="s">
        <v>139</v>
      </c>
      <c r="B79" s="80" t="s">
        <v>212</v>
      </c>
      <c r="C79" s="80"/>
      <c r="D79" s="80"/>
      <c r="E79" s="80"/>
      <c r="F79" s="80"/>
      <c r="G79" s="126"/>
      <c r="H79" s="126"/>
      <c r="I79" s="80"/>
      <c r="J79" s="80"/>
      <c r="K79" s="80"/>
      <c r="L79" s="80"/>
      <c r="M79" s="80"/>
      <c r="N79" s="80"/>
      <c r="O79" s="80"/>
      <c r="P79" s="80"/>
      <c r="Q79" s="80"/>
      <c r="R79" s="80"/>
      <c r="S79" s="80"/>
      <c r="T79" s="80"/>
      <c r="U79" s="80"/>
      <c r="V79" s="80"/>
      <c r="W79" s="80"/>
      <c r="X79" s="80"/>
      <c r="Y79" s="80"/>
      <c r="Z79" s="80"/>
    </row>
    <row r="80" spans="1:26" x14ac:dyDescent="0.25">
      <c r="A80" s="80" t="s">
        <v>1312</v>
      </c>
      <c r="B80" s="80" t="s">
        <v>1155</v>
      </c>
      <c r="C80" s="80" t="s">
        <v>1156</v>
      </c>
      <c r="D80" s="80" t="s">
        <v>1157</v>
      </c>
      <c r="E80" s="80" t="s">
        <v>79</v>
      </c>
      <c r="F80" s="80" t="s">
        <v>1161</v>
      </c>
      <c r="G80" s="126"/>
      <c r="H80" s="126"/>
      <c r="I80" s="80"/>
      <c r="J80" s="80"/>
      <c r="K80" s="80"/>
      <c r="L80" s="80"/>
      <c r="M80" s="80"/>
      <c r="N80" s="80"/>
      <c r="O80" s="80"/>
      <c r="P80" s="80"/>
      <c r="Q80" s="80"/>
      <c r="R80" s="80"/>
      <c r="S80" s="80"/>
      <c r="T80" s="80"/>
      <c r="U80" s="80"/>
      <c r="V80" s="80"/>
      <c r="W80" s="80"/>
      <c r="X80" s="80"/>
      <c r="Y80" s="80"/>
      <c r="Z80" s="80"/>
    </row>
    <row r="81" spans="1:26" x14ac:dyDescent="0.25">
      <c r="A81" s="80" t="s">
        <v>113</v>
      </c>
      <c r="B81" s="80" t="s">
        <v>75</v>
      </c>
      <c r="C81" s="80"/>
      <c r="D81" s="80"/>
      <c r="E81" s="80"/>
      <c r="F81" s="80"/>
      <c r="G81" s="126"/>
      <c r="H81" s="126"/>
      <c r="I81" s="80"/>
      <c r="J81" s="80"/>
      <c r="K81" s="80"/>
      <c r="L81" s="80"/>
      <c r="M81" s="80"/>
      <c r="N81" s="80"/>
      <c r="O81" s="80"/>
      <c r="P81" s="80"/>
      <c r="Q81" s="80"/>
      <c r="R81" s="80"/>
      <c r="S81" s="80"/>
      <c r="T81" s="80"/>
      <c r="U81" s="80"/>
      <c r="V81" s="80"/>
      <c r="W81" s="80"/>
      <c r="X81" s="80"/>
      <c r="Y81" s="80"/>
      <c r="Z81" s="80"/>
    </row>
    <row r="82" spans="1:26" x14ac:dyDescent="0.25">
      <c r="A82" s="80" t="s">
        <v>809</v>
      </c>
      <c r="B82" s="80" t="s">
        <v>939</v>
      </c>
      <c r="C82" s="80"/>
      <c r="D82" s="80"/>
      <c r="E82" s="80"/>
      <c r="F82" s="80"/>
      <c r="G82" s="126"/>
      <c r="H82" s="126"/>
      <c r="I82" s="80"/>
      <c r="J82" s="80"/>
      <c r="K82" s="80"/>
      <c r="L82" s="80"/>
      <c r="M82" s="80"/>
      <c r="N82" s="80"/>
      <c r="O82" s="80"/>
      <c r="P82" s="80"/>
      <c r="Q82" s="80"/>
      <c r="R82" s="80"/>
      <c r="S82" s="80"/>
      <c r="T82" s="80"/>
      <c r="U82" s="80"/>
      <c r="V82" s="80"/>
      <c r="W82" s="80"/>
      <c r="X82" s="80"/>
      <c r="Y82" s="80"/>
      <c r="Z82" s="80"/>
    </row>
    <row r="83" spans="1:26" x14ac:dyDescent="0.25">
      <c r="A83" s="80" t="s">
        <v>1177</v>
      </c>
      <c r="B83" s="80" t="s">
        <v>951</v>
      </c>
      <c r="C83" s="80" t="s">
        <v>1178</v>
      </c>
      <c r="D83" s="80" t="s">
        <v>1179</v>
      </c>
      <c r="E83" s="80" t="s">
        <v>79</v>
      </c>
      <c r="F83" s="83" t="s">
        <v>1180</v>
      </c>
      <c r="G83" s="126"/>
      <c r="H83" s="126"/>
      <c r="I83" s="80"/>
      <c r="J83" s="80"/>
      <c r="K83" s="80"/>
      <c r="L83" s="80"/>
      <c r="M83" s="80"/>
      <c r="N83" s="80"/>
      <c r="O83" s="80"/>
      <c r="P83" s="80"/>
      <c r="Q83" s="80"/>
      <c r="R83" s="80"/>
      <c r="S83" s="80"/>
      <c r="T83" s="80"/>
      <c r="U83" s="80"/>
      <c r="V83" s="80"/>
      <c r="W83" s="80"/>
      <c r="X83" s="80"/>
      <c r="Y83" s="80"/>
      <c r="Z83" s="80"/>
    </row>
    <row r="84" spans="1:26" x14ac:dyDescent="0.25">
      <c r="A84" s="80" t="s">
        <v>772</v>
      </c>
      <c r="B84" s="80" t="s">
        <v>951</v>
      </c>
      <c r="C84" s="80"/>
      <c r="D84" s="80"/>
      <c r="E84" s="80"/>
      <c r="F84" s="80"/>
      <c r="G84" s="126"/>
      <c r="H84" s="126"/>
      <c r="I84" s="80"/>
      <c r="J84" s="80"/>
      <c r="K84" s="80"/>
      <c r="L84" s="80"/>
      <c r="M84" s="80"/>
      <c r="N84" s="80"/>
      <c r="O84" s="80"/>
      <c r="P84" s="80"/>
      <c r="Q84" s="80"/>
      <c r="R84" s="80"/>
      <c r="S84" s="80"/>
      <c r="T84" s="80"/>
      <c r="U84" s="80"/>
      <c r="V84" s="80"/>
      <c r="W84" s="80"/>
      <c r="X84" s="80"/>
      <c r="Y84" s="80"/>
      <c r="Z84" s="80"/>
    </row>
    <row r="85" spans="1:26" x14ac:dyDescent="0.25">
      <c r="A85" s="80" t="s">
        <v>346</v>
      </c>
      <c r="B85" s="80" t="s">
        <v>314</v>
      </c>
      <c r="C85" s="80"/>
      <c r="D85" s="80"/>
      <c r="E85" s="80"/>
      <c r="F85" s="80"/>
      <c r="G85" s="126"/>
      <c r="H85" s="126"/>
      <c r="I85" s="80"/>
      <c r="J85" s="80"/>
      <c r="K85" s="80"/>
      <c r="L85" s="80"/>
      <c r="M85" s="80"/>
      <c r="N85" s="80"/>
      <c r="O85" s="80"/>
      <c r="P85" s="80"/>
      <c r="Q85" s="80"/>
      <c r="R85" s="80"/>
      <c r="S85" s="80"/>
      <c r="T85" s="80"/>
      <c r="U85" s="80"/>
      <c r="V85" s="80"/>
      <c r="W85" s="80"/>
      <c r="X85" s="80"/>
      <c r="Y85" s="80"/>
      <c r="Z85" s="80"/>
    </row>
    <row r="86" spans="1:26" ht="30" x14ac:dyDescent="0.25">
      <c r="A86" s="80" t="s">
        <v>1313</v>
      </c>
      <c r="B86" s="80" t="s">
        <v>1314</v>
      </c>
      <c r="C86" s="80" t="s">
        <v>1315</v>
      </c>
      <c r="D86" s="80" t="s">
        <v>1316</v>
      </c>
      <c r="E86" s="80" t="s">
        <v>79</v>
      </c>
      <c r="F86" s="83" t="s">
        <v>1317</v>
      </c>
      <c r="G86" s="126"/>
      <c r="H86" s="126"/>
      <c r="I86" s="80"/>
      <c r="J86" s="80"/>
      <c r="K86" s="80"/>
      <c r="L86" s="80"/>
      <c r="M86" s="80"/>
      <c r="N86" s="80"/>
      <c r="O86" s="80"/>
      <c r="P86" s="80"/>
      <c r="Q86" s="80"/>
      <c r="R86" s="80"/>
      <c r="S86" s="80"/>
      <c r="T86" s="80"/>
      <c r="U86" s="80"/>
      <c r="V86" s="80"/>
      <c r="W86" s="80"/>
      <c r="X86" s="80"/>
      <c r="Y86" s="80"/>
      <c r="Z86" s="80"/>
    </row>
    <row r="87" spans="1:26" ht="30" x14ac:dyDescent="0.25">
      <c r="A87" s="80" t="s">
        <v>1318</v>
      </c>
      <c r="B87" s="80" t="s">
        <v>1319</v>
      </c>
      <c r="C87" s="80" t="s">
        <v>1320</v>
      </c>
      <c r="D87" s="80" t="s">
        <v>1321</v>
      </c>
      <c r="E87" s="80" t="s">
        <v>79</v>
      </c>
      <c r="F87" s="83" t="s">
        <v>1322</v>
      </c>
      <c r="G87" s="126"/>
      <c r="H87" s="126"/>
      <c r="I87" s="80"/>
      <c r="J87" s="80"/>
      <c r="K87" s="80"/>
      <c r="L87" s="80"/>
      <c r="M87" s="80"/>
      <c r="N87" s="80"/>
      <c r="O87" s="80"/>
      <c r="P87" s="80"/>
      <c r="Q87" s="80"/>
      <c r="R87" s="80"/>
      <c r="S87" s="80"/>
      <c r="T87" s="80"/>
      <c r="U87" s="80"/>
      <c r="V87" s="80"/>
      <c r="W87" s="80"/>
      <c r="X87" s="80"/>
      <c r="Y87" s="80"/>
      <c r="Z87" s="80"/>
    </row>
    <row r="88" spans="1:26" x14ac:dyDescent="0.25">
      <c r="A88" s="80" t="s">
        <v>272</v>
      </c>
      <c r="B88" s="80" t="s">
        <v>85</v>
      </c>
      <c r="C88" s="80"/>
      <c r="D88" s="80"/>
      <c r="E88" s="80"/>
      <c r="F88" s="83"/>
      <c r="G88" s="126"/>
      <c r="H88" s="126"/>
      <c r="I88" s="80"/>
      <c r="J88" s="80"/>
      <c r="K88" s="80"/>
      <c r="L88" s="80"/>
      <c r="M88" s="80"/>
      <c r="N88" s="80"/>
      <c r="O88" s="80"/>
      <c r="P88" s="80"/>
      <c r="Q88" s="80"/>
      <c r="R88" s="80"/>
      <c r="S88" s="80"/>
      <c r="T88" s="80"/>
      <c r="U88" s="80"/>
      <c r="V88" s="80"/>
      <c r="W88" s="80"/>
      <c r="X88" s="80"/>
      <c r="Y88" s="80"/>
      <c r="Z88" s="80"/>
    </row>
    <row r="89" spans="1:26" ht="45" x14ac:dyDescent="0.25">
      <c r="A89" s="80" t="s">
        <v>1661</v>
      </c>
      <c r="B89" s="80" t="s">
        <v>1662</v>
      </c>
      <c r="C89" s="80" t="s">
        <v>84</v>
      </c>
      <c r="D89" s="80" t="s">
        <v>1663</v>
      </c>
      <c r="E89" s="80" t="s">
        <v>79</v>
      </c>
      <c r="F89" s="83" t="s">
        <v>1664</v>
      </c>
      <c r="G89" s="126"/>
      <c r="H89" s="126"/>
      <c r="I89" s="80"/>
      <c r="J89" s="80"/>
      <c r="K89" s="80"/>
      <c r="L89" s="80"/>
      <c r="M89" s="80"/>
      <c r="N89" s="80"/>
      <c r="O89" s="80"/>
      <c r="P89" s="80"/>
      <c r="Q89" s="80"/>
      <c r="R89" s="80"/>
      <c r="S89" s="80"/>
      <c r="T89" s="80"/>
      <c r="U89" s="80"/>
      <c r="V89" s="80"/>
      <c r="W89" s="80"/>
      <c r="X89" s="80"/>
      <c r="Y89" s="80"/>
      <c r="Z89" s="80"/>
    </row>
    <row r="90" spans="1:26" x14ac:dyDescent="0.25">
      <c r="A90" s="80" t="s">
        <v>1323</v>
      </c>
      <c r="B90" s="80" t="s">
        <v>74</v>
      </c>
      <c r="C90" s="80" t="s">
        <v>919</v>
      </c>
      <c r="D90" s="80" t="s">
        <v>274</v>
      </c>
      <c r="E90" s="80" t="s">
        <v>79</v>
      </c>
      <c r="F90" s="80" t="s">
        <v>1104</v>
      </c>
      <c r="G90" s="126"/>
      <c r="H90" s="126"/>
      <c r="I90" s="80"/>
      <c r="J90" s="80"/>
      <c r="K90" s="80"/>
      <c r="L90" s="80"/>
      <c r="M90" s="80"/>
      <c r="N90" s="80"/>
      <c r="O90" s="80"/>
      <c r="P90" s="80"/>
      <c r="Q90" s="80"/>
      <c r="R90" s="80"/>
      <c r="S90" s="80"/>
      <c r="T90" s="80"/>
      <c r="U90" s="80"/>
      <c r="V90" s="80"/>
      <c r="W90" s="80"/>
      <c r="X90" s="80"/>
      <c r="Y90" s="80"/>
      <c r="Z90" s="80"/>
    </row>
    <row r="91" spans="1:26" x14ac:dyDescent="0.25">
      <c r="A91" s="80" t="s">
        <v>1324</v>
      </c>
      <c r="B91" s="80" t="s">
        <v>74</v>
      </c>
      <c r="C91" s="80" t="s">
        <v>919</v>
      </c>
      <c r="D91" s="80" t="s">
        <v>1325</v>
      </c>
      <c r="E91" s="80" t="s">
        <v>1326</v>
      </c>
      <c r="F91" s="80" t="s">
        <v>1327</v>
      </c>
      <c r="G91" s="126"/>
      <c r="H91" s="126"/>
      <c r="I91" s="80"/>
      <c r="J91" s="80"/>
      <c r="K91" s="80"/>
      <c r="L91" s="80"/>
      <c r="M91" s="80"/>
      <c r="N91" s="80"/>
      <c r="O91" s="80"/>
      <c r="P91" s="80"/>
      <c r="Q91" s="80"/>
      <c r="R91" s="80"/>
      <c r="S91" s="80"/>
      <c r="T91" s="80"/>
      <c r="U91" s="80"/>
      <c r="V91" s="80"/>
      <c r="W91" s="80"/>
      <c r="X91" s="80"/>
      <c r="Y91" s="80"/>
      <c r="Z91" s="80"/>
    </row>
    <row r="92" spans="1:26" x14ac:dyDescent="0.25">
      <c r="A92" s="80" t="s">
        <v>1103</v>
      </c>
      <c r="B92" s="80" t="s">
        <v>74</v>
      </c>
      <c r="C92" s="80" t="s">
        <v>919</v>
      </c>
      <c r="D92" s="80" t="s">
        <v>274</v>
      </c>
      <c r="E92" s="80" t="s">
        <v>79</v>
      </c>
      <c r="F92" s="80" t="s">
        <v>1104</v>
      </c>
      <c r="G92" s="126"/>
      <c r="H92" s="126"/>
      <c r="I92" s="80"/>
      <c r="J92" s="80"/>
      <c r="K92" s="80"/>
      <c r="L92" s="80"/>
      <c r="M92" s="80"/>
      <c r="N92" s="80"/>
      <c r="O92" s="80"/>
      <c r="P92" s="80"/>
      <c r="Q92" s="80"/>
      <c r="R92" s="80"/>
      <c r="S92" s="80"/>
      <c r="T92" s="80"/>
      <c r="U92" s="80"/>
      <c r="V92" s="80"/>
      <c r="W92" s="80"/>
      <c r="X92" s="80"/>
      <c r="Y92" s="80"/>
      <c r="Z92" s="80"/>
    </row>
    <row r="93" spans="1:26" x14ac:dyDescent="0.25">
      <c r="A93" s="80" t="s">
        <v>864</v>
      </c>
      <c r="B93" s="80" t="s">
        <v>74</v>
      </c>
      <c r="C93" s="80" t="s">
        <v>919</v>
      </c>
      <c r="D93" s="80" t="s">
        <v>274</v>
      </c>
      <c r="E93" s="80" t="s">
        <v>920</v>
      </c>
      <c r="F93" s="80" t="s">
        <v>1208</v>
      </c>
      <c r="G93" s="126"/>
      <c r="H93" s="126"/>
      <c r="I93" s="80"/>
      <c r="J93" s="80"/>
      <c r="K93" s="80"/>
      <c r="L93" s="80"/>
      <c r="M93" s="80"/>
      <c r="N93" s="80"/>
      <c r="O93" s="80"/>
      <c r="P93" s="80"/>
      <c r="Q93" s="80"/>
      <c r="R93" s="80"/>
      <c r="S93" s="80"/>
      <c r="T93" s="80"/>
      <c r="U93" s="80"/>
      <c r="V93" s="80"/>
      <c r="W93" s="80"/>
      <c r="X93" s="80"/>
      <c r="Y93" s="80"/>
      <c r="Z93" s="80"/>
    </row>
    <row r="94" spans="1:26" x14ac:dyDescent="0.25">
      <c r="A94" s="80" t="s">
        <v>642</v>
      </c>
      <c r="B94" s="80" t="s">
        <v>74</v>
      </c>
      <c r="C94" s="80" t="s">
        <v>919</v>
      </c>
      <c r="D94" s="80" t="s">
        <v>274</v>
      </c>
      <c r="E94" s="80" t="s">
        <v>644</v>
      </c>
      <c r="F94" s="80" t="s">
        <v>1208</v>
      </c>
      <c r="G94" s="126"/>
      <c r="H94" s="126"/>
      <c r="I94" s="80"/>
      <c r="J94" s="80"/>
      <c r="K94" s="80"/>
      <c r="L94" s="80"/>
      <c r="M94" s="80"/>
      <c r="N94" s="80"/>
      <c r="O94" s="80"/>
      <c r="P94" s="80"/>
      <c r="Q94" s="80"/>
      <c r="R94" s="80"/>
      <c r="S94" s="80"/>
      <c r="T94" s="80"/>
      <c r="U94" s="80"/>
      <c r="V94" s="80"/>
      <c r="W94" s="80"/>
      <c r="X94" s="80"/>
      <c r="Y94" s="80"/>
      <c r="Z94" s="80"/>
    </row>
    <row r="95" spans="1:26" x14ac:dyDescent="0.25">
      <c r="A95" s="80" t="s">
        <v>110</v>
      </c>
      <c r="B95" s="80" t="s">
        <v>74</v>
      </c>
      <c r="C95" s="80" t="s">
        <v>919</v>
      </c>
      <c r="D95" s="80"/>
      <c r="E95" s="80"/>
      <c r="F95" s="80"/>
      <c r="G95" s="126"/>
      <c r="H95" s="126"/>
      <c r="I95" s="80"/>
      <c r="J95" s="80"/>
      <c r="K95" s="80"/>
      <c r="L95" s="80"/>
      <c r="M95" s="80"/>
      <c r="N95" s="80"/>
      <c r="O95" s="80"/>
      <c r="P95" s="80"/>
      <c r="Q95" s="80"/>
      <c r="R95" s="80"/>
      <c r="S95" s="80"/>
      <c r="T95" s="80"/>
      <c r="U95" s="80"/>
      <c r="V95" s="80"/>
      <c r="W95" s="80"/>
      <c r="X95" s="80"/>
      <c r="Y95" s="80"/>
      <c r="Z95" s="80"/>
    </row>
    <row r="96" spans="1:26" x14ac:dyDescent="0.25">
      <c r="A96" s="80" t="s">
        <v>138</v>
      </c>
      <c r="B96" s="80" t="s">
        <v>74</v>
      </c>
      <c r="C96" s="80" t="s">
        <v>919</v>
      </c>
      <c r="D96" s="80"/>
      <c r="E96" s="80"/>
      <c r="F96" s="80"/>
      <c r="G96" s="126"/>
      <c r="H96" s="126"/>
      <c r="I96" s="80"/>
      <c r="J96" s="80"/>
      <c r="K96" s="80"/>
      <c r="L96" s="80"/>
      <c r="M96" s="80"/>
      <c r="N96" s="80"/>
      <c r="O96" s="80"/>
      <c r="P96" s="80"/>
      <c r="Q96" s="80"/>
      <c r="R96" s="80"/>
      <c r="S96" s="80"/>
      <c r="T96" s="80"/>
      <c r="U96" s="80"/>
      <c r="V96" s="80"/>
      <c r="W96" s="80"/>
      <c r="X96" s="80"/>
      <c r="Y96" s="80"/>
      <c r="Z96" s="80"/>
    </row>
    <row r="97" spans="1:26" x14ac:dyDescent="0.25">
      <c r="A97" s="80" t="s">
        <v>141</v>
      </c>
      <c r="B97" s="80" t="s">
        <v>74</v>
      </c>
      <c r="C97" s="80" t="s">
        <v>919</v>
      </c>
      <c r="D97" s="80"/>
      <c r="E97" s="80"/>
      <c r="F97" s="80"/>
      <c r="G97" s="126"/>
      <c r="H97" s="126"/>
      <c r="I97" s="80"/>
      <c r="J97" s="80"/>
      <c r="K97" s="80"/>
      <c r="L97" s="80"/>
      <c r="M97" s="80"/>
      <c r="N97" s="80"/>
      <c r="O97" s="80"/>
      <c r="P97" s="80"/>
      <c r="Q97" s="80"/>
      <c r="R97" s="80"/>
      <c r="S97" s="80"/>
      <c r="T97" s="80"/>
      <c r="U97" s="80"/>
      <c r="V97" s="80"/>
      <c r="W97" s="80"/>
      <c r="X97" s="80"/>
      <c r="Y97" s="80"/>
      <c r="Z97" s="80"/>
    </row>
    <row r="98" spans="1:26" x14ac:dyDescent="0.25">
      <c r="A98" s="80" t="s">
        <v>142</v>
      </c>
      <c r="B98" s="80" t="s">
        <v>74</v>
      </c>
      <c r="C98" s="80" t="s">
        <v>919</v>
      </c>
      <c r="D98" s="80"/>
      <c r="E98" s="80"/>
      <c r="F98" s="80"/>
      <c r="G98" s="126"/>
      <c r="H98" s="126"/>
      <c r="I98" s="80"/>
      <c r="J98" s="80"/>
      <c r="K98" s="80"/>
      <c r="L98" s="80"/>
      <c r="M98" s="80"/>
      <c r="N98" s="80"/>
      <c r="O98" s="80"/>
      <c r="P98" s="80"/>
      <c r="Q98" s="80"/>
      <c r="R98" s="80"/>
      <c r="S98" s="80"/>
      <c r="T98" s="80"/>
      <c r="U98" s="80"/>
      <c r="V98" s="80"/>
      <c r="W98" s="80"/>
      <c r="X98" s="80"/>
      <c r="Y98" s="80"/>
      <c r="Z98" s="80"/>
    </row>
    <row r="99" spans="1:26" x14ac:dyDescent="0.25">
      <c r="A99" s="80" t="s">
        <v>481</v>
      </c>
      <c r="B99" s="80" t="s">
        <v>74</v>
      </c>
      <c r="C99" s="80" t="s">
        <v>919</v>
      </c>
      <c r="D99" s="80"/>
      <c r="E99" s="80"/>
      <c r="F99" s="80"/>
      <c r="G99" s="126"/>
      <c r="H99" s="126"/>
      <c r="I99" s="80"/>
      <c r="J99" s="80"/>
      <c r="K99" s="80"/>
      <c r="L99" s="80"/>
      <c r="M99" s="80"/>
      <c r="N99" s="80"/>
      <c r="O99" s="80"/>
      <c r="P99" s="80"/>
      <c r="Q99" s="80"/>
      <c r="R99" s="80"/>
      <c r="S99" s="80"/>
      <c r="T99" s="80"/>
      <c r="U99" s="80"/>
      <c r="V99" s="80"/>
      <c r="W99" s="80"/>
      <c r="X99" s="80"/>
      <c r="Y99" s="80"/>
      <c r="Z99" s="80"/>
    </row>
    <row r="100" spans="1:26" x14ac:dyDescent="0.25">
      <c r="A100" s="80" t="s">
        <v>1328</v>
      </c>
      <c r="B100" s="80" t="s">
        <v>1329</v>
      </c>
      <c r="C100" s="80" t="s">
        <v>1330</v>
      </c>
      <c r="D100" s="80" t="s">
        <v>1331</v>
      </c>
      <c r="E100" s="80" t="s">
        <v>79</v>
      </c>
      <c r="F100" s="80" t="s">
        <v>1332</v>
      </c>
      <c r="G100" s="126"/>
      <c r="H100" s="126"/>
      <c r="I100" s="80"/>
      <c r="J100" s="80"/>
      <c r="K100" s="80"/>
      <c r="L100" s="80"/>
      <c r="M100" s="80"/>
      <c r="N100" s="80"/>
      <c r="O100" s="80"/>
      <c r="P100" s="80"/>
      <c r="Q100" s="80"/>
      <c r="R100" s="80"/>
      <c r="S100" s="80"/>
      <c r="T100" s="80"/>
      <c r="U100" s="80"/>
      <c r="V100" s="80"/>
      <c r="W100" s="80"/>
      <c r="X100" s="80"/>
      <c r="Y100" s="80"/>
      <c r="Z100" s="80"/>
    </row>
    <row r="101" spans="1:26" x14ac:dyDescent="0.25">
      <c r="A101" s="80" t="s">
        <v>1333</v>
      </c>
      <c r="B101" s="80" t="s">
        <v>74</v>
      </c>
      <c r="C101" s="80" t="s">
        <v>919</v>
      </c>
      <c r="D101" s="80" t="s">
        <v>1334</v>
      </c>
      <c r="E101" s="80" t="s">
        <v>79</v>
      </c>
      <c r="F101" s="80" t="s">
        <v>1335</v>
      </c>
      <c r="G101" s="126"/>
      <c r="H101" s="126"/>
      <c r="I101" s="80"/>
      <c r="J101" s="80"/>
      <c r="K101" s="80"/>
      <c r="L101" s="80"/>
      <c r="M101" s="80"/>
      <c r="N101" s="80"/>
      <c r="O101" s="80"/>
      <c r="P101" s="80"/>
      <c r="Q101" s="80"/>
      <c r="R101" s="80"/>
      <c r="S101" s="80"/>
      <c r="T101" s="80"/>
      <c r="U101" s="80"/>
      <c r="V101" s="80"/>
      <c r="W101" s="80"/>
      <c r="X101" s="80"/>
      <c r="Y101" s="80"/>
      <c r="Z101" s="80"/>
    </row>
    <row r="102" spans="1:26" x14ac:dyDescent="0.25">
      <c r="A102" s="80" t="s">
        <v>1333</v>
      </c>
      <c r="B102" s="80" t="s">
        <v>74</v>
      </c>
      <c r="C102" s="80" t="s">
        <v>919</v>
      </c>
      <c r="D102" s="80" t="s">
        <v>1336</v>
      </c>
      <c r="E102" s="80" t="s">
        <v>79</v>
      </c>
      <c r="F102" s="80" t="s">
        <v>1337</v>
      </c>
      <c r="G102" s="126"/>
      <c r="H102" s="126"/>
      <c r="I102" s="80"/>
      <c r="J102" s="80"/>
      <c r="K102" s="80"/>
      <c r="L102" s="80"/>
      <c r="M102" s="80"/>
      <c r="N102" s="80"/>
      <c r="O102" s="80"/>
      <c r="P102" s="80"/>
      <c r="Q102" s="80"/>
      <c r="R102" s="80"/>
      <c r="S102" s="80"/>
      <c r="T102" s="80"/>
      <c r="U102" s="80"/>
      <c r="V102" s="80"/>
      <c r="W102" s="80"/>
      <c r="X102" s="80"/>
      <c r="Y102" s="80"/>
      <c r="Z102" s="80"/>
    </row>
    <row r="103" spans="1:26" x14ac:dyDescent="0.25">
      <c r="A103" s="80" t="s">
        <v>1333</v>
      </c>
      <c r="B103" s="80" t="s">
        <v>74</v>
      </c>
      <c r="C103" s="80" t="s">
        <v>919</v>
      </c>
      <c r="D103" s="80" t="s">
        <v>1338</v>
      </c>
      <c r="E103" s="80" t="s">
        <v>79</v>
      </c>
      <c r="F103" s="80" t="s">
        <v>1339</v>
      </c>
      <c r="G103" s="126"/>
      <c r="H103" s="126"/>
      <c r="I103" s="80"/>
      <c r="J103" s="80"/>
      <c r="K103" s="80"/>
      <c r="L103" s="80"/>
      <c r="M103" s="80"/>
      <c r="N103" s="80"/>
      <c r="O103" s="80"/>
      <c r="P103" s="80"/>
      <c r="Q103" s="80"/>
      <c r="R103" s="80"/>
      <c r="S103" s="80"/>
      <c r="T103" s="80"/>
      <c r="U103" s="80"/>
      <c r="V103" s="80"/>
      <c r="W103" s="80"/>
      <c r="X103" s="80"/>
      <c r="Y103" s="80"/>
      <c r="Z103" s="80"/>
    </row>
    <row r="104" spans="1:26" x14ac:dyDescent="0.25">
      <c r="A104" s="80" t="s">
        <v>1333</v>
      </c>
      <c r="B104" s="80" t="s">
        <v>74</v>
      </c>
      <c r="C104" s="80" t="s">
        <v>919</v>
      </c>
      <c r="D104" s="80" t="s">
        <v>1340</v>
      </c>
      <c r="E104" s="80" t="s">
        <v>79</v>
      </c>
      <c r="F104" s="80" t="s">
        <v>1341</v>
      </c>
      <c r="G104" s="126"/>
      <c r="H104" s="126"/>
      <c r="I104" s="80"/>
      <c r="J104" s="80"/>
      <c r="K104" s="80"/>
      <c r="L104" s="80"/>
      <c r="M104" s="80"/>
      <c r="N104" s="80"/>
      <c r="O104" s="80"/>
      <c r="P104" s="80"/>
      <c r="Q104" s="80"/>
      <c r="R104" s="80"/>
      <c r="S104" s="80"/>
      <c r="T104" s="80"/>
      <c r="U104" s="80"/>
      <c r="V104" s="80"/>
      <c r="W104" s="80"/>
      <c r="X104" s="80"/>
      <c r="Y104" s="80"/>
      <c r="Z104" s="80"/>
    </row>
    <row r="105" spans="1:26" x14ac:dyDescent="0.25">
      <c r="A105" s="80" t="s">
        <v>474</v>
      </c>
      <c r="B105" s="80" t="s">
        <v>75</v>
      </c>
      <c r="C105" s="80"/>
      <c r="D105" s="80"/>
      <c r="E105" s="80"/>
      <c r="F105" s="80"/>
      <c r="G105" s="126"/>
      <c r="H105" s="126"/>
      <c r="I105" s="80"/>
      <c r="J105" s="80"/>
      <c r="K105" s="80"/>
      <c r="L105" s="80"/>
      <c r="M105" s="80"/>
      <c r="N105" s="80"/>
      <c r="O105" s="80"/>
      <c r="P105" s="80"/>
      <c r="Q105" s="80"/>
      <c r="R105" s="80"/>
      <c r="S105" s="80"/>
      <c r="T105" s="80"/>
      <c r="U105" s="80"/>
      <c r="V105" s="80"/>
      <c r="W105" s="80"/>
      <c r="X105" s="80"/>
      <c r="Y105" s="80"/>
      <c r="Z105" s="80"/>
    </row>
    <row r="106" spans="1:26" x14ac:dyDescent="0.25">
      <c r="A106" s="80" t="s">
        <v>152</v>
      </c>
      <c r="B106" s="80" t="s">
        <v>75</v>
      </c>
      <c r="C106" s="80"/>
      <c r="D106" s="80"/>
      <c r="E106" s="80"/>
      <c r="F106" s="80"/>
      <c r="G106" s="126"/>
      <c r="H106" s="126"/>
      <c r="I106" s="80"/>
      <c r="J106" s="80"/>
      <c r="K106" s="80"/>
      <c r="L106" s="80"/>
      <c r="M106" s="80"/>
      <c r="N106" s="80"/>
      <c r="O106" s="80"/>
      <c r="P106" s="80"/>
      <c r="Q106" s="80"/>
      <c r="R106" s="80"/>
      <c r="S106" s="80"/>
      <c r="T106" s="80"/>
      <c r="U106" s="80"/>
      <c r="V106" s="80"/>
      <c r="W106" s="80"/>
      <c r="X106" s="80"/>
      <c r="Y106" s="80"/>
      <c r="Z106" s="80"/>
    </row>
    <row r="107" spans="1:26" x14ac:dyDescent="0.25">
      <c r="A107" s="80" t="s">
        <v>20</v>
      </c>
      <c r="B107" s="80" t="s">
        <v>75</v>
      </c>
      <c r="C107" s="80"/>
      <c r="D107" s="80"/>
      <c r="E107" s="80"/>
      <c r="F107" s="80"/>
      <c r="G107" s="126"/>
      <c r="H107" s="126"/>
      <c r="I107" s="80"/>
      <c r="J107" s="80"/>
      <c r="K107" s="80"/>
      <c r="L107" s="80"/>
      <c r="M107" s="80"/>
      <c r="N107" s="80"/>
      <c r="O107" s="80"/>
      <c r="P107" s="80"/>
      <c r="Q107" s="80"/>
      <c r="R107" s="80"/>
      <c r="S107" s="80"/>
      <c r="T107" s="80"/>
      <c r="U107" s="80"/>
      <c r="V107" s="80"/>
      <c r="W107" s="80"/>
      <c r="X107" s="80"/>
      <c r="Y107" s="80"/>
      <c r="Z107" s="80"/>
    </row>
    <row r="108" spans="1:26" x14ac:dyDescent="0.25">
      <c r="A108" s="80" t="s">
        <v>107</v>
      </c>
      <c r="B108" s="80" t="s">
        <v>75</v>
      </c>
      <c r="C108" s="80"/>
      <c r="D108" s="80"/>
      <c r="E108" s="80"/>
      <c r="F108" s="80"/>
      <c r="G108" s="126"/>
      <c r="H108" s="126"/>
      <c r="I108" s="80"/>
      <c r="J108" s="80"/>
      <c r="K108" s="80"/>
      <c r="L108" s="80"/>
      <c r="M108" s="80"/>
      <c r="N108" s="80"/>
      <c r="O108" s="80"/>
      <c r="P108" s="80"/>
      <c r="Q108" s="80"/>
      <c r="R108" s="80"/>
      <c r="S108" s="80"/>
      <c r="T108" s="80"/>
      <c r="U108" s="80"/>
      <c r="V108" s="80"/>
      <c r="W108" s="80"/>
      <c r="X108" s="80"/>
      <c r="Y108" s="80"/>
      <c r="Z108" s="80"/>
    </row>
    <row r="109" spans="1:26" x14ac:dyDescent="0.25">
      <c r="A109" s="80" t="s">
        <v>21</v>
      </c>
      <c r="B109" s="80" t="s">
        <v>75</v>
      </c>
      <c r="C109" s="80"/>
      <c r="D109" s="80"/>
      <c r="E109" s="80"/>
      <c r="F109" s="80"/>
      <c r="G109" s="126"/>
      <c r="H109" s="126"/>
      <c r="I109" s="80"/>
      <c r="J109" s="80"/>
      <c r="K109" s="80"/>
      <c r="L109" s="80"/>
      <c r="M109" s="80"/>
      <c r="N109" s="80"/>
      <c r="O109" s="80"/>
      <c r="P109" s="80"/>
      <c r="Q109" s="80"/>
      <c r="R109" s="80"/>
      <c r="S109" s="80"/>
      <c r="T109" s="80"/>
      <c r="U109" s="80"/>
      <c r="V109" s="80"/>
      <c r="W109" s="80"/>
      <c r="X109" s="80"/>
      <c r="Y109" s="80"/>
      <c r="Z109" s="80"/>
    </row>
    <row r="110" spans="1:26" x14ac:dyDescent="0.25">
      <c r="A110" s="80" t="s">
        <v>22</v>
      </c>
      <c r="B110" s="80" t="s">
        <v>75</v>
      </c>
      <c r="C110" s="80"/>
      <c r="D110" s="80"/>
      <c r="E110" s="80"/>
      <c r="F110" s="80"/>
      <c r="G110" s="126"/>
      <c r="H110" s="126"/>
      <c r="I110" s="80"/>
      <c r="J110" s="80"/>
      <c r="K110" s="80"/>
      <c r="L110" s="80"/>
      <c r="M110" s="80"/>
      <c r="N110" s="80"/>
      <c r="O110" s="80"/>
      <c r="P110" s="80"/>
      <c r="Q110" s="80"/>
      <c r="R110" s="80"/>
      <c r="S110" s="80"/>
      <c r="T110" s="80"/>
      <c r="U110" s="80"/>
      <c r="V110" s="80"/>
      <c r="W110" s="80"/>
      <c r="X110" s="80"/>
      <c r="Y110" s="80"/>
      <c r="Z110" s="80"/>
    </row>
    <row r="111" spans="1:26" x14ac:dyDescent="0.25">
      <c r="A111" s="80" t="s">
        <v>23</v>
      </c>
      <c r="B111" s="80" t="s">
        <v>75</v>
      </c>
      <c r="C111" s="80"/>
      <c r="D111" s="80"/>
      <c r="E111" s="80"/>
      <c r="F111" s="80"/>
      <c r="G111" s="126"/>
      <c r="H111" s="126"/>
      <c r="I111" s="80"/>
      <c r="J111" s="80"/>
      <c r="K111" s="80"/>
      <c r="L111" s="80"/>
      <c r="M111" s="80"/>
      <c r="N111" s="80"/>
      <c r="O111" s="80"/>
      <c r="P111" s="80"/>
      <c r="Q111" s="80"/>
      <c r="R111" s="80"/>
      <c r="S111" s="80"/>
      <c r="T111" s="80"/>
      <c r="U111" s="80"/>
      <c r="V111" s="80"/>
      <c r="W111" s="80"/>
      <c r="X111" s="80"/>
      <c r="Y111" s="80"/>
      <c r="Z111" s="80"/>
    </row>
    <row r="112" spans="1:26" x14ac:dyDescent="0.25">
      <c r="A112" s="80" t="s">
        <v>24</v>
      </c>
      <c r="B112" s="80" t="s">
        <v>75</v>
      </c>
      <c r="C112" s="80"/>
      <c r="D112" s="80"/>
      <c r="E112" s="80"/>
      <c r="F112" s="80"/>
      <c r="G112" s="126"/>
      <c r="H112" s="126"/>
      <c r="I112" s="80"/>
      <c r="J112" s="80"/>
      <c r="K112" s="80"/>
      <c r="L112" s="80"/>
      <c r="M112" s="80"/>
      <c r="N112" s="80"/>
      <c r="O112" s="80"/>
      <c r="P112" s="80"/>
      <c r="Q112" s="80"/>
      <c r="R112" s="80"/>
      <c r="S112" s="80"/>
      <c r="T112" s="80"/>
      <c r="U112" s="80"/>
      <c r="V112" s="80"/>
      <c r="W112" s="80"/>
      <c r="X112" s="80"/>
      <c r="Y112" s="80"/>
      <c r="Z112" s="80"/>
    </row>
    <row r="113" spans="1:26" x14ac:dyDescent="0.25">
      <c r="A113" s="80" t="s">
        <v>25</v>
      </c>
      <c r="B113" s="80" t="s">
        <v>75</v>
      </c>
      <c r="C113" s="80"/>
      <c r="D113" s="80"/>
      <c r="E113" s="80"/>
      <c r="F113" s="80"/>
      <c r="G113" s="126"/>
      <c r="H113" s="126"/>
      <c r="I113" s="80"/>
      <c r="J113" s="80"/>
      <c r="K113" s="80"/>
      <c r="L113" s="80"/>
      <c r="M113" s="80"/>
      <c r="N113" s="80"/>
      <c r="O113" s="80"/>
      <c r="P113" s="80"/>
      <c r="Q113" s="80"/>
      <c r="R113" s="80"/>
      <c r="S113" s="80"/>
      <c r="T113" s="80"/>
      <c r="U113" s="80"/>
      <c r="V113" s="80"/>
      <c r="W113" s="80"/>
      <c r="X113" s="80"/>
      <c r="Y113" s="80"/>
      <c r="Z113" s="80"/>
    </row>
    <row r="114" spans="1:26" x14ac:dyDescent="0.25">
      <c r="A114" s="80" t="s">
        <v>749</v>
      </c>
      <c r="B114" s="80" t="s">
        <v>750</v>
      </c>
      <c r="C114" s="80"/>
      <c r="D114" s="80"/>
      <c r="E114" s="80"/>
      <c r="F114" s="80"/>
      <c r="G114" s="126"/>
      <c r="H114" s="126"/>
      <c r="I114" s="80"/>
      <c r="J114" s="80"/>
      <c r="K114" s="80"/>
      <c r="L114" s="80"/>
      <c r="M114" s="80"/>
      <c r="N114" s="80"/>
      <c r="O114" s="80"/>
      <c r="P114" s="80"/>
      <c r="Q114" s="80"/>
      <c r="R114" s="80"/>
      <c r="S114" s="80"/>
      <c r="T114" s="80"/>
      <c r="U114" s="80"/>
      <c r="V114" s="80"/>
      <c r="W114" s="80"/>
      <c r="X114" s="80"/>
      <c r="Y114" s="80"/>
      <c r="Z114" s="80"/>
    </row>
    <row r="115" spans="1:26" x14ac:dyDescent="0.25">
      <c r="A115" s="80" t="s">
        <v>655</v>
      </c>
      <c r="B115" s="80" t="s">
        <v>921</v>
      </c>
      <c r="C115" s="80"/>
      <c r="D115" s="80"/>
      <c r="E115" s="80"/>
      <c r="F115" s="80"/>
      <c r="G115" s="126"/>
      <c r="H115" s="126"/>
      <c r="I115" s="80"/>
      <c r="J115" s="80"/>
      <c r="K115" s="80"/>
      <c r="L115" s="80"/>
      <c r="M115" s="80"/>
      <c r="N115" s="80"/>
      <c r="O115" s="80"/>
      <c r="P115" s="80"/>
      <c r="Q115" s="80"/>
      <c r="R115" s="80"/>
      <c r="S115" s="80"/>
      <c r="T115" s="80"/>
      <c r="U115" s="80"/>
      <c r="V115" s="80"/>
      <c r="W115" s="80"/>
      <c r="X115" s="80"/>
      <c r="Y115" s="80"/>
      <c r="Z115" s="80"/>
    </row>
    <row r="116" spans="1:26" x14ac:dyDescent="0.25">
      <c r="A116" s="80" t="s">
        <v>1665</v>
      </c>
      <c r="B116" s="80" t="s">
        <v>75</v>
      </c>
      <c r="C116" s="80" t="s">
        <v>919</v>
      </c>
      <c r="D116" s="80" t="s">
        <v>1666</v>
      </c>
      <c r="E116" s="80" t="s">
        <v>79</v>
      </c>
      <c r="F116" s="80" t="s">
        <v>1667</v>
      </c>
      <c r="G116" s="126"/>
      <c r="H116" s="126"/>
      <c r="I116" s="80"/>
      <c r="J116" s="80"/>
      <c r="K116" s="80"/>
      <c r="L116" s="80"/>
      <c r="M116" s="80"/>
      <c r="N116" s="80"/>
      <c r="O116" s="80"/>
      <c r="P116" s="80"/>
      <c r="Q116" s="80"/>
      <c r="R116" s="80"/>
      <c r="S116" s="80"/>
      <c r="T116" s="80"/>
      <c r="U116" s="80"/>
      <c r="V116" s="80"/>
      <c r="W116" s="80"/>
      <c r="X116" s="80"/>
      <c r="Y116" s="80"/>
      <c r="Z116" s="80"/>
    </row>
    <row r="117" spans="1:26" x14ac:dyDescent="0.25">
      <c r="A117" s="80" t="s">
        <v>1342</v>
      </c>
      <c r="B117" s="80" t="s">
        <v>1343</v>
      </c>
      <c r="C117" s="80" t="s">
        <v>1344</v>
      </c>
      <c r="D117" s="80" t="s">
        <v>1345</v>
      </c>
      <c r="E117" s="80" t="s">
        <v>79</v>
      </c>
      <c r="F117" s="80" t="s">
        <v>1346</v>
      </c>
      <c r="G117" s="126"/>
      <c r="H117" s="126"/>
      <c r="I117" s="80"/>
      <c r="J117" s="80"/>
      <c r="K117" s="80"/>
      <c r="L117" s="80"/>
      <c r="M117" s="80"/>
      <c r="N117" s="80"/>
      <c r="O117" s="80"/>
      <c r="P117" s="80"/>
      <c r="Q117" s="80"/>
      <c r="R117" s="80"/>
      <c r="S117" s="80"/>
      <c r="T117" s="80"/>
      <c r="U117" s="80"/>
      <c r="V117" s="80"/>
      <c r="W117" s="80"/>
      <c r="X117" s="80"/>
      <c r="Y117" s="80"/>
      <c r="Z117" s="80"/>
    </row>
    <row r="118" spans="1:26" x14ac:dyDescent="0.25">
      <c r="A118" s="80" t="s">
        <v>1342</v>
      </c>
      <c r="B118" s="80" t="s">
        <v>1343</v>
      </c>
      <c r="C118" s="80" t="s">
        <v>1344</v>
      </c>
      <c r="D118" s="80" t="s">
        <v>1347</v>
      </c>
      <c r="E118" s="80" t="s">
        <v>79</v>
      </c>
      <c r="F118" s="80" t="s">
        <v>1348</v>
      </c>
      <c r="G118" s="126"/>
      <c r="H118" s="126"/>
      <c r="I118" s="80"/>
      <c r="J118" s="80"/>
      <c r="K118" s="80"/>
      <c r="L118" s="80"/>
      <c r="M118" s="80"/>
      <c r="N118" s="80"/>
      <c r="O118" s="80"/>
      <c r="P118" s="80"/>
      <c r="Q118" s="80"/>
      <c r="R118" s="80"/>
      <c r="S118" s="80"/>
      <c r="T118" s="80"/>
      <c r="U118" s="80"/>
      <c r="V118" s="80"/>
      <c r="W118" s="80"/>
      <c r="X118" s="80"/>
      <c r="Y118" s="80"/>
      <c r="Z118" s="80"/>
    </row>
    <row r="119" spans="1:26" x14ac:dyDescent="0.25">
      <c r="A119" s="80" t="s">
        <v>1342</v>
      </c>
      <c r="B119" s="80" t="s">
        <v>1343</v>
      </c>
      <c r="C119" s="80" t="s">
        <v>1344</v>
      </c>
      <c r="D119" s="80" t="s">
        <v>1349</v>
      </c>
      <c r="E119" s="80" t="s">
        <v>79</v>
      </c>
      <c r="F119" s="80" t="s">
        <v>1350</v>
      </c>
      <c r="G119" s="126"/>
      <c r="H119" s="126"/>
      <c r="I119" s="80"/>
      <c r="J119" s="80"/>
      <c r="K119" s="80"/>
      <c r="L119" s="80"/>
      <c r="M119" s="80"/>
      <c r="N119" s="80"/>
      <c r="O119" s="80"/>
      <c r="P119" s="80"/>
      <c r="Q119" s="80"/>
      <c r="R119" s="80"/>
      <c r="S119" s="80"/>
      <c r="T119" s="80"/>
      <c r="U119" s="80"/>
      <c r="V119" s="80"/>
      <c r="W119" s="80"/>
      <c r="X119" s="80"/>
      <c r="Y119" s="80"/>
      <c r="Z119" s="80"/>
    </row>
    <row r="120" spans="1:26" x14ac:dyDescent="0.25">
      <c r="A120" s="80" t="s">
        <v>104</v>
      </c>
      <c r="B120" s="80" t="s">
        <v>75</v>
      </c>
      <c r="C120" s="80"/>
      <c r="D120" s="80"/>
      <c r="E120" s="80"/>
      <c r="F120" s="80"/>
      <c r="G120" s="126"/>
      <c r="H120" s="126"/>
      <c r="I120" s="80"/>
      <c r="J120" s="80"/>
      <c r="K120" s="80"/>
      <c r="L120" s="80"/>
      <c r="M120" s="80"/>
      <c r="N120" s="80"/>
      <c r="O120" s="80"/>
      <c r="P120" s="80"/>
      <c r="Q120" s="80"/>
      <c r="R120" s="80"/>
      <c r="S120" s="80"/>
      <c r="T120" s="80"/>
      <c r="U120" s="80"/>
      <c r="V120" s="80"/>
      <c r="W120" s="80"/>
      <c r="X120" s="80"/>
      <c r="Y120" s="80"/>
      <c r="Z120" s="80"/>
    </row>
    <row r="121" spans="1:26" x14ac:dyDescent="0.25">
      <c r="A121" s="80" t="s">
        <v>105</v>
      </c>
      <c r="B121" s="80" t="s">
        <v>948</v>
      </c>
      <c r="C121" s="80"/>
      <c r="D121" s="80"/>
      <c r="E121" s="80"/>
      <c r="F121" s="80"/>
      <c r="G121" s="126"/>
      <c r="H121" s="126"/>
      <c r="I121" s="80"/>
      <c r="J121" s="80"/>
      <c r="K121" s="80"/>
      <c r="L121" s="80"/>
      <c r="M121" s="80"/>
      <c r="N121" s="80"/>
      <c r="O121" s="80"/>
      <c r="P121" s="80"/>
      <c r="Q121" s="80"/>
      <c r="R121" s="80"/>
      <c r="S121" s="80"/>
      <c r="T121" s="80"/>
      <c r="U121" s="80"/>
      <c r="V121" s="80"/>
      <c r="W121" s="80"/>
      <c r="X121" s="80"/>
      <c r="Y121" s="80"/>
      <c r="Z121" s="80"/>
    </row>
    <row r="122" spans="1:26" x14ac:dyDescent="0.25">
      <c r="A122" s="80" t="s">
        <v>35</v>
      </c>
      <c r="B122" s="80" t="s">
        <v>74</v>
      </c>
      <c r="C122" s="80"/>
      <c r="D122" s="80"/>
      <c r="E122" s="80"/>
      <c r="F122" s="80"/>
      <c r="G122" s="126"/>
      <c r="H122" s="126"/>
      <c r="I122" s="80"/>
      <c r="J122" s="80"/>
      <c r="K122" s="80"/>
      <c r="L122" s="80"/>
      <c r="M122" s="80"/>
      <c r="N122" s="80"/>
      <c r="O122" s="80"/>
      <c r="P122" s="80"/>
      <c r="Q122" s="80"/>
      <c r="R122" s="80"/>
      <c r="S122" s="80"/>
      <c r="T122" s="80"/>
      <c r="U122" s="80"/>
      <c r="V122" s="80"/>
      <c r="W122" s="80"/>
      <c r="X122" s="80"/>
      <c r="Y122" s="80"/>
      <c r="Z122" s="80"/>
    </row>
    <row r="123" spans="1:26" x14ac:dyDescent="0.25">
      <c r="A123" s="80" t="s">
        <v>36</v>
      </c>
      <c r="B123" s="80" t="s">
        <v>74</v>
      </c>
      <c r="C123" s="80"/>
      <c r="D123" s="80"/>
      <c r="E123" s="80"/>
      <c r="F123" s="80"/>
      <c r="G123" s="126"/>
      <c r="H123" s="126"/>
      <c r="I123" s="80"/>
      <c r="J123" s="80"/>
      <c r="K123" s="80"/>
      <c r="L123" s="80"/>
      <c r="M123" s="80"/>
      <c r="N123" s="80"/>
      <c r="O123" s="80"/>
      <c r="P123" s="80"/>
      <c r="Q123" s="80"/>
      <c r="R123" s="80"/>
      <c r="S123" s="80"/>
      <c r="T123" s="80"/>
      <c r="U123" s="80"/>
      <c r="V123" s="80"/>
      <c r="W123" s="80"/>
      <c r="X123" s="80"/>
      <c r="Y123" s="80"/>
      <c r="Z123" s="80"/>
    </row>
    <row r="124" spans="1:26" x14ac:dyDescent="0.25">
      <c r="A124" s="80" t="s">
        <v>37</v>
      </c>
      <c r="B124" s="80" t="s">
        <v>74</v>
      </c>
      <c r="C124" s="80"/>
      <c r="D124" s="80"/>
      <c r="E124" s="80"/>
      <c r="F124" s="80"/>
      <c r="G124" s="126"/>
      <c r="H124" s="126"/>
      <c r="I124" s="80"/>
      <c r="J124" s="80"/>
      <c r="K124" s="80"/>
      <c r="L124" s="80"/>
      <c r="M124" s="80"/>
      <c r="N124" s="80"/>
      <c r="O124" s="80"/>
      <c r="P124" s="80"/>
      <c r="Q124" s="80"/>
      <c r="R124" s="80"/>
      <c r="S124" s="80"/>
      <c r="T124" s="80"/>
      <c r="U124" s="80"/>
      <c r="V124" s="80"/>
      <c r="W124" s="80"/>
      <c r="X124" s="80"/>
      <c r="Y124" s="80"/>
      <c r="Z124" s="80"/>
    </row>
    <row r="125" spans="1:26" x14ac:dyDescent="0.25">
      <c r="A125" s="80" t="s">
        <v>38</v>
      </c>
      <c r="B125" s="80" t="s">
        <v>74</v>
      </c>
      <c r="C125" s="80"/>
      <c r="D125" s="80"/>
      <c r="E125" s="80"/>
      <c r="F125" s="80"/>
      <c r="G125" s="126"/>
      <c r="H125" s="126"/>
      <c r="I125" s="80"/>
      <c r="J125" s="80"/>
      <c r="K125" s="80"/>
      <c r="L125" s="80"/>
      <c r="M125" s="80"/>
      <c r="N125" s="80"/>
      <c r="O125" s="80"/>
      <c r="P125" s="80"/>
      <c r="Q125" s="80"/>
      <c r="R125" s="80"/>
      <c r="S125" s="80"/>
      <c r="T125" s="80"/>
      <c r="U125" s="80"/>
      <c r="V125" s="80"/>
      <c r="W125" s="80"/>
      <c r="X125" s="80"/>
      <c r="Y125" s="80"/>
      <c r="Z125" s="80"/>
    </row>
    <row r="126" spans="1:26" x14ac:dyDescent="0.25">
      <c r="A126" s="80" t="s">
        <v>39</v>
      </c>
      <c r="B126" s="80" t="s">
        <v>74</v>
      </c>
      <c r="C126" s="80"/>
      <c r="D126" s="80"/>
      <c r="E126" s="80"/>
      <c r="F126" s="80"/>
      <c r="G126" s="126"/>
      <c r="H126" s="126"/>
      <c r="I126" s="80"/>
      <c r="J126" s="80"/>
      <c r="K126" s="80"/>
      <c r="L126" s="80"/>
      <c r="M126" s="80"/>
      <c r="N126" s="80"/>
      <c r="O126" s="80"/>
      <c r="P126" s="80"/>
      <c r="Q126" s="80"/>
      <c r="R126" s="80"/>
      <c r="S126" s="80"/>
      <c r="T126" s="80"/>
      <c r="U126" s="80"/>
      <c r="V126" s="80"/>
      <c r="W126" s="80"/>
      <c r="X126" s="80"/>
      <c r="Y126" s="80"/>
      <c r="Z126" s="80"/>
    </row>
    <row r="127" spans="1:26" x14ac:dyDescent="0.25">
      <c r="A127" s="80" t="s">
        <v>41</v>
      </c>
      <c r="B127" s="80" t="s">
        <v>74</v>
      </c>
      <c r="C127" s="80"/>
      <c r="D127" s="80"/>
      <c r="E127" s="80"/>
      <c r="F127" s="80"/>
      <c r="G127" s="126"/>
      <c r="H127" s="126"/>
      <c r="I127" s="80"/>
      <c r="J127" s="80"/>
      <c r="K127" s="80"/>
      <c r="L127" s="80"/>
      <c r="M127" s="80"/>
      <c r="N127" s="80"/>
      <c r="O127" s="80"/>
      <c r="P127" s="80"/>
      <c r="Q127" s="80"/>
      <c r="R127" s="80"/>
      <c r="S127" s="80"/>
      <c r="T127" s="80"/>
      <c r="U127" s="80"/>
      <c r="V127" s="80"/>
      <c r="W127" s="80"/>
      <c r="X127" s="80"/>
      <c r="Y127" s="80"/>
      <c r="Z127" s="80"/>
    </row>
    <row r="128" spans="1:26" x14ac:dyDescent="0.25">
      <c r="A128" s="80" t="s">
        <v>42</v>
      </c>
      <c r="B128" s="80" t="s">
        <v>74</v>
      </c>
      <c r="C128" s="80"/>
      <c r="D128" s="80"/>
      <c r="E128" s="80"/>
      <c r="F128" s="80"/>
      <c r="G128" s="126"/>
      <c r="H128" s="126"/>
      <c r="I128" s="80"/>
      <c r="J128" s="80"/>
      <c r="K128" s="80"/>
      <c r="L128" s="80"/>
      <c r="M128" s="80"/>
      <c r="N128" s="80"/>
      <c r="O128" s="80"/>
      <c r="P128" s="80"/>
      <c r="Q128" s="80"/>
      <c r="R128" s="80"/>
      <c r="S128" s="80"/>
      <c r="T128" s="80"/>
      <c r="U128" s="80"/>
      <c r="V128" s="80"/>
      <c r="W128" s="80"/>
      <c r="X128" s="80"/>
      <c r="Y128" s="80"/>
      <c r="Z128" s="80"/>
    </row>
    <row r="129" spans="1:26" x14ac:dyDescent="0.25">
      <c r="A129" s="80" t="s">
        <v>43</v>
      </c>
      <c r="B129" s="80" t="s">
        <v>74</v>
      </c>
      <c r="C129" s="80"/>
      <c r="D129" s="80"/>
      <c r="E129" s="80"/>
      <c r="F129" s="80"/>
      <c r="G129" s="126"/>
      <c r="H129" s="126"/>
      <c r="I129" s="80"/>
      <c r="J129" s="80"/>
      <c r="K129" s="80"/>
      <c r="L129" s="80"/>
      <c r="M129" s="80"/>
      <c r="N129" s="80"/>
      <c r="O129" s="80"/>
      <c r="P129" s="80"/>
      <c r="Q129" s="80"/>
      <c r="R129" s="80"/>
      <c r="S129" s="80"/>
      <c r="T129" s="80"/>
      <c r="U129" s="80"/>
      <c r="V129" s="80"/>
      <c r="W129" s="80"/>
      <c r="X129" s="80"/>
      <c r="Y129" s="80"/>
      <c r="Z129" s="80"/>
    </row>
    <row r="130" spans="1:26" x14ac:dyDescent="0.25">
      <c r="A130" s="80" t="s">
        <v>46</v>
      </c>
      <c r="B130" s="80" t="s">
        <v>75</v>
      </c>
      <c r="C130" s="80"/>
      <c r="D130" s="80"/>
      <c r="E130" s="80"/>
      <c r="F130" s="80"/>
      <c r="G130" s="126"/>
      <c r="H130" s="126"/>
      <c r="I130" s="80"/>
      <c r="J130" s="80"/>
      <c r="K130" s="80"/>
      <c r="L130" s="80"/>
      <c r="M130" s="80"/>
      <c r="N130" s="80"/>
      <c r="O130" s="80"/>
      <c r="P130" s="80"/>
      <c r="Q130" s="80"/>
      <c r="R130" s="80"/>
      <c r="S130" s="80"/>
      <c r="T130" s="80"/>
      <c r="U130" s="80"/>
      <c r="V130" s="80"/>
      <c r="W130" s="80"/>
      <c r="X130" s="80"/>
      <c r="Y130" s="80"/>
      <c r="Z130" s="80"/>
    </row>
    <row r="131" spans="1:26" x14ac:dyDescent="0.25">
      <c r="A131" s="80" t="s">
        <v>47</v>
      </c>
      <c r="B131" s="80" t="s">
        <v>75</v>
      </c>
      <c r="C131" s="80"/>
      <c r="D131" s="80"/>
      <c r="E131" s="80"/>
      <c r="F131" s="80"/>
      <c r="G131" s="126"/>
      <c r="H131" s="126"/>
      <c r="I131" s="80"/>
      <c r="J131" s="80"/>
      <c r="K131" s="80"/>
      <c r="L131" s="80"/>
      <c r="M131" s="80"/>
      <c r="N131" s="80"/>
      <c r="O131" s="80"/>
      <c r="P131" s="80"/>
      <c r="Q131" s="80"/>
      <c r="R131" s="80"/>
      <c r="S131" s="80"/>
      <c r="T131" s="80"/>
      <c r="U131" s="80"/>
      <c r="V131" s="80"/>
      <c r="W131" s="80"/>
      <c r="X131" s="80"/>
      <c r="Y131" s="80"/>
      <c r="Z131" s="80"/>
    </row>
    <row r="132" spans="1:26" x14ac:dyDescent="0.25">
      <c r="A132" s="80" t="s">
        <v>48</v>
      </c>
      <c r="B132" s="80" t="s">
        <v>75</v>
      </c>
      <c r="C132" s="80"/>
      <c r="D132" s="80"/>
      <c r="E132" s="80"/>
      <c r="F132" s="80"/>
      <c r="G132" s="126"/>
      <c r="H132" s="126"/>
      <c r="I132" s="80"/>
      <c r="J132" s="80"/>
      <c r="K132" s="80"/>
      <c r="L132" s="80"/>
      <c r="M132" s="80"/>
      <c r="N132" s="80"/>
      <c r="O132" s="80"/>
      <c r="P132" s="80"/>
      <c r="Q132" s="80"/>
      <c r="R132" s="80"/>
      <c r="S132" s="80"/>
      <c r="T132" s="80"/>
      <c r="U132" s="80"/>
      <c r="V132" s="80"/>
      <c r="W132" s="80"/>
      <c r="X132" s="80"/>
      <c r="Y132" s="80"/>
      <c r="Z132" s="80"/>
    </row>
    <row r="133" spans="1:26" x14ac:dyDescent="0.25">
      <c r="A133" s="80" t="s">
        <v>49</v>
      </c>
      <c r="B133" s="80" t="s">
        <v>75</v>
      </c>
      <c r="C133" s="80"/>
      <c r="D133" s="80"/>
      <c r="E133" s="80"/>
      <c r="F133" s="80"/>
      <c r="G133" s="126"/>
      <c r="H133" s="126"/>
      <c r="I133" s="80"/>
      <c r="J133" s="80"/>
      <c r="K133" s="80"/>
      <c r="L133" s="80"/>
      <c r="M133" s="80"/>
      <c r="N133" s="80"/>
      <c r="O133" s="80"/>
      <c r="P133" s="80"/>
      <c r="Q133" s="80"/>
      <c r="R133" s="80"/>
      <c r="S133" s="80"/>
      <c r="T133" s="80"/>
      <c r="U133" s="80"/>
      <c r="V133" s="80"/>
      <c r="W133" s="80"/>
      <c r="X133" s="80"/>
      <c r="Y133" s="80"/>
      <c r="Z133" s="80"/>
    </row>
    <row r="134" spans="1:26" x14ac:dyDescent="0.25">
      <c r="A134" s="80" t="s">
        <v>125</v>
      </c>
      <c r="B134" s="80" t="s">
        <v>77</v>
      </c>
      <c r="C134" s="80"/>
      <c r="D134" s="80"/>
      <c r="E134" s="80"/>
      <c r="F134" s="80"/>
      <c r="G134" s="126"/>
      <c r="H134" s="126"/>
      <c r="I134" s="80"/>
      <c r="J134" s="80"/>
      <c r="K134" s="80"/>
      <c r="L134" s="80"/>
      <c r="M134" s="80"/>
      <c r="N134" s="80"/>
      <c r="O134" s="80"/>
      <c r="P134" s="80"/>
      <c r="Q134" s="80"/>
      <c r="R134" s="80"/>
      <c r="S134" s="80"/>
      <c r="T134" s="80"/>
      <c r="U134" s="80"/>
      <c r="V134" s="80"/>
      <c r="W134" s="80"/>
      <c r="X134" s="80"/>
      <c r="Y134" s="80"/>
      <c r="Z134" s="80"/>
    </row>
    <row r="135" spans="1:26" x14ac:dyDescent="0.25">
      <c r="A135" s="80" t="s">
        <v>126</v>
      </c>
      <c r="B135" s="80" t="s">
        <v>77</v>
      </c>
      <c r="C135" s="80"/>
      <c r="D135" s="80"/>
      <c r="E135" s="80"/>
      <c r="F135" s="80"/>
      <c r="G135" s="126"/>
      <c r="H135" s="126"/>
      <c r="I135" s="80"/>
      <c r="J135" s="80"/>
      <c r="K135" s="80"/>
      <c r="L135" s="80"/>
      <c r="M135" s="80"/>
      <c r="N135" s="80"/>
      <c r="O135" s="80"/>
      <c r="P135" s="80"/>
      <c r="Q135" s="80"/>
      <c r="R135" s="80"/>
      <c r="S135" s="80"/>
      <c r="T135" s="80"/>
      <c r="U135" s="80"/>
      <c r="V135" s="80"/>
      <c r="W135" s="80"/>
      <c r="X135" s="80"/>
      <c r="Y135" s="80"/>
      <c r="Z135" s="80"/>
    </row>
    <row r="136" spans="1:26" x14ac:dyDescent="0.25">
      <c r="A136" s="80" t="s">
        <v>127</v>
      </c>
      <c r="B136" s="80" t="s">
        <v>77</v>
      </c>
      <c r="C136" s="80"/>
      <c r="D136" s="80"/>
      <c r="E136" s="80"/>
      <c r="F136" s="80"/>
      <c r="G136" s="126"/>
      <c r="H136" s="126"/>
      <c r="I136" s="80"/>
      <c r="J136" s="80"/>
      <c r="K136" s="80"/>
      <c r="L136" s="80"/>
      <c r="M136" s="80"/>
      <c r="N136" s="80"/>
      <c r="O136" s="80"/>
      <c r="P136" s="80"/>
      <c r="Q136" s="80"/>
      <c r="R136" s="80"/>
      <c r="S136" s="80"/>
      <c r="T136" s="80"/>
      <c r="U136" s="80"/>
      <c r="V136" s="80"/>
      <c r="W136" s="80"/>
      <c r="X136" s="80"/>
      <c r="Y136" s="80"/>
      <c r="Z136" s="80"/>
    </row>
    <row r="137" spans="1:26" x14ac:dyDescent="0.25">
      <c r="A137" s="80" t="s">
        <v>31</v>
      </c>
      <c r="B137" s="80" t="s">
        <v>75</v>
      </c>
      <c r="C137" s="80"/>
      <c r="D137" s="80"/>
      <c r="E137" s="80"/>
      <c r="F137" s="80"/>
      <c r="G137" s="126"/>
      <c r="H137" s="126"/>
      <c r="I137" s="80"/>
      <c r="J137" s="80"/>
      <c r="K137" s="80"/>
      <c r="L137" s="80"/>
      <c r="M137" s="80"/>
      <c r="N137" s="80"/>
      <c r="O137" s="80"/>
      <c r="P137" s="80"/>
      <c r="Q137" s="80"/>
      <c r="R137" s="80"/>
      <c r="S137" s="80"/>
      <c r="T137" s="80"/>
      <c r="U137" s="80"/>
      <c r="V137" s="80"/>
      <c r="W137" s="80"/>
      <c r="X137" s="80"/>
      <c r="Y137" s="80"/>
      <c r="Z137" s="80"/>
    </row>
    <row r="138" spans="1:26" x14ac:dyDescent="0.25">
      <c r="A138" s="80" t="s">
        <v>32</v>
      </c>
      <c r="B138" s="80" t="s">
        <v>75</v>
      </c>
      <c r="C138" s="80"/>
      <c r="D138" s="80"/>
      <c r="E138" s="80"/>
      <c r="F138" s="80"/>
      <c r="G138" s="126"/>
      <c r="H138" s="126"/>
      <c r="I138" s="80"/>
      <c r="J138" s="80"/>
      <c r="K138" s="80"/>
      <c r="L138" s="80"/>
      <c r="M138" s="80"/>
      <c r="N138" s="80"/>
      <c r="O138" s="80"/>
      <c r="P138" s="80"/>
      <c r="Q138" s="80"/>
      <c r="R138" s="80"/>
      <c r="S138" s="80"/>
      <c r="T138" s="80"/>
      <c r="U138" s="80"/>
      <c r="V138" s="80"/>
      <c r="W138" s="80"/>
      <c r="X138" s="80"/>
      <c r="Y138" s="80"/>
      <c r="Z138" s="80"/>
    </row>
    <row r="139" spans="1:26" x14ac:dyDescent="0.25">
      <c r="A139" s="80" t="s">
        <v>33</v>
      </c>
      <c r="B139" s="80" t="s">
        <v>75</v>
      </c>
      <c r="C139" s="80"/>
      <c r="D139" s="80"/>
      <c r="E139" s="80"/>
      <c r="F139" s="80"/>
      <c r="G139" s="126"/>
      <c r="H139" s="126"/>
      <c r="I139" s="80"/>
      <c r="J139" s="80"/>
      <c r="K139" s="80"/>
      <c r="L139" s="80"/>
      <c r="M139" s="80"/>
      <c r="N139" s="80"/>
      <c r="O139" s="80"/>
      <c r="P139" s="80"/>
      <c r="Q139" s="80"/>
      <c r="R139" s="80"/>
      <c r="S139" s="80"/>
      <c r="T139" s="80"/>
      <c r="U139" s="80"/>
      <c r="V139" s="80"/>
      <c r="W139" s="80"/>
      <c r="X139" s="80"/>
      <c r="Y139" s="80"/>
      <c r="Z139" s="80"/>
    </row>
    <row r="140" spans="1:26" x14ac:dyDescent="0.25">
      <c r="A140" s="80" t="s">
        <v>34</v>
      </c>
      <c r="B140" s="80" t="s">
        <v>75</v>
      </c>
      <c r="C140" s="80"/>
      <c r="D140" s="80"/>
      <c r="E140" s="80"/>
      <c r="F140" s="80"/>
      <c r="G140" s="126"/>
      <c r="H140" s="126"/>
      <c r="I140" s="80"/>
      <c r="J140" s="80"/>
      <c r="K140" s="80"/>
      <c r="L140" s="80"/>
      <c r="M140" s="80"/>
      <c r="N140" s="80"/>
      <c r="O140" s="80"/>
      <c r="P140" s="80"/>
      <c r="Q140" s="80"/>
      <c r="R140" s="80"/>
      <c r="S140" s="80"/>
      <c r="T140" s="80"/>
      <c r="U140" s="80"/>
      <c r="V140" s="80"/>
      <c r="W140" s="80"/>
      <c r="X140" s="80"/>
      <c r="Y140" s="80"/>
      <c r="Z140" s="80"/>
    </row>
    <row r="141" spans="1:26" x14ac:dyDescent="0.25">
      <c r="A141" s="80" t="s">
        <v>144</v>
      </c>
      <c r="B141" s="80" t="s">
        <v>75</v>
      </c>
      <c r="C141" s="80"/>
      <c r="D141" s="80"/>
      <c r="E141" s="80"/>
      <c r="F141" s="80"/>
      <c r="G141" s="126"/>
      <c r="H141" s="126"/>
      <c r="I141" s="80"/>
      <c r="J141" s="80"/>
      <c r="K141" s="80"/>
      <c r="L141" s="80"/>
      <c r="M141" s="80"/>
      <c r="N141" s="80"/>
      <c r="O141" s="80"/>
      <c r="P141" s="80"/>
      <c r="Q141" s="80"/>
      <c r="R141" s="80"/>
      <c r="S141" s="80"/>
      <c r="T141" s="80"/>
      <c r="U141" s="80"/>
      <c r="V141" s="80"/>
      <c r="W141" s="80"/>
      <c r="X141" s="80"/>
      <c r="Y141" s="80"/>
      <c r="Z141" s="80"/>
    </row>
    <row r="142" spans="1:26" x14ac:dyDescent="0.25">
      <c r="A142" s="80" t="s">
        <v>73</v>
      </c>
      <c r="B142" s="80" t="s">
        <v>943</v>
      </c>
      <c r="C142" s="80"/>
      <c r="D142" s="80"/>
      <c r="E142" s="80"/>
      <c r="F142" s="80"/>
      <c r="G142" s="126"/>
      <c r="H142" s="126"/>
      <c r="I142" s="80"/>
      <c r="J142" s="80"/>
      <c r="K142" s="80"/>
      <c r="L142" s="80"/>
      <c r="M142" s="80"/>
      <c r="N142" s="80"/>
      <c r="O142" s="80"/>
      <c r="P142" s="80"/>
      <c r="Q142" s="80"/>
      <c r="R142" s="80"/>
      <c r="S142" s="80"/>
      <c r="T142" s="80"/>
      <c r="U142" s="80"/>
      <c r="V142" s="80"/>
      <c r="W142" s="80"/>
      <c r="X142" s="80"/>
      <c r="Y142" s="80"/>
      <c r="Z142" s="80"/>
    </row>
    <row r="143" spans="1:26" x14ac:dyDescent="0.25">
      <c r="A143" s="80" t="s">
        <v>1351</v>
      </c>
      <c r="B143" s="80" t="s">
        <v>1352</v>
      </c>
      <c r="C143" s="80" t="s">
        <v>1353</v>
      </c>
      <c r="D143" s="80" t="s">
        <v>1354</v>
      </c>
      <c r="E143" s="80" t="s">
        <v>79</v>
      </c>
      <c r="F143" s="80" t="s">
        <v>1355</v>
      </c>
      <c r="G143" s="126"/>
      <c r="H143" s="126"/>
      <c r="I143" s="80"/>
      <c r="J143" s="80"/>
      <c r="K143" s="80"/>
      <c r="L143" s="80"/>
      <c r="M143" s="80"/>
      <c r="N143" s="80"/>
      <c r="O143" s="80"/>
      <c r="P143" s="80"/>
      <c r="Q143" s="80"/>
      <c r="R143" s="80"/>
      <c r="S143" s="80"/>
      <c r="T143" s="80"/>
      <c r="U143" s="80"/>
      <c r="V143" s="80"/>
      <c r="W143" s="80"/>
      <c r="X143" s="80"/>
      <c r="Y143" s="80"/>
      <c r="Z143" s="80"/>
    </row>
    <row r="144" spans="1:26" x14ac:dyDescent="0.25">
      <c r="A144" s="80" t="s">
        <v>56</v>
      </c>
      <c r="B144" s="80" t="s">
        <v>922</v>
      </c>
      <c r="C144" s="80"/>
      <c r="D144" s="80"/>
      <c r="E144" s="80"/>
      <c r="F144" s="80"/>
      <c r="G144" s="126"/>
      <c r="H144" s="126"/>
      <c r="I144" s="80"/>
      <c r="J144" s="80"/>
      <c r="K144" s="80"/>
      <c r="L144" s="80"/>
      <c r="M144" s="80"/>
      <c r="N144" s="80"/>
      <c r="O144" s="80"/>
      <c r="P144" s="80"/>
      <c r="Q144" s="80"/>
      <c r="R144" s="80"/>
      <c r="S144" s="80"/>
      <c r="T144" s="80"/>
      <c r="U144" s="80"/>
      <c r="V144" s="80"/>
      <c r="W144" s="80"/>
      <c r="X144" s="80"/>
      <c r="Y144" s="80"/>
      <c r="Z144" s="80"/>
    </row>
    <row r="145" spans="1:26" x14ac:dyDescent="0.25">
      <c r="A145" s="80" t="s">
        <v>338</v>
      </c>
      <c r="B145" s="80" t="s">
        <v>942</v>
      </c>
      <c r="C145" s="80"/>
      <c r="D145" s="80"/>
      <c r="E145" s="80"/>
      <c r="F145" s="80"/>
      <c r="G145" s="126"/>
      <c r="H145" s="126"/>
      <c r="I145" s="80"/>
      <c r="J145" s="80"/>
      <c r="K145" s="80"/>
      <c r="L145" s="80"/>
      <c r="M145" s="80"/>
      <c r="N145" s="80"/>
      <c r="O145" s="80"/>
      <c r="P145" s="80"/>
      <c r="Q145" s="80"/>
      <c r="R145" s="80"/>
      <c r="S145" s="80"/>
      <c r="T145" s="80"/>
      <c r="U145" s="80"/>
      <c r="V145" s="80"/>
      <c r="W145" s="80"/>
      <c r="X145" s="80"/>
      <c r="Y145" s="80"/>
      <c r="Z145" s="80"/>
    </row>
    <row r="146" spans="1:26" x14ac:dyDescent="0.25">
      <c r="A146" s="80" t="s">
        <v>189</v>
      </c>
      <c r="B146" s="80" t="s">
        <v>212</v>
      </c>
      <c r="C146" s="80"/>
      <c r="D146" s="80"/>
      <c r="E146" s="80"/>
      <c r="F146" s="80"/>
      <c r="G146" s="126"/>
      <c r="H146" s="126"/>
      <c r="I146" s="80"/>
      <c r="J146" s="80"/>
      <c r="K146" s="80"/>
      <c r="L146" s="80"/>
      <c r="M146" s="80"/>
      <c r="N146" s="80"/>
      <c r="O146" s="80"/>
      <c r="P146" s="80"/>
      <c r="Q146" s="80"/>
      <c r="R146" s="80"/>
      <c r="S146" s="80"/>
      <c r="T146" s="80"/>
      <c r="U146" s="80"/>
      <c r="V146" s="80"/>
      <c r="W146" s="80"/>
      <c r="X146" s="80"/>
      <c r="Y146" s="80"/>
      <c r="Z146" s="80"/>
    </row>
    <row r="147" spans="1:26" x14ac:dyDescent="0.25">
      <c r="A147" s="80" t="s">
        <v>193</v>
      </c>
      <c r="B147" s="80" t="s">
        <v>212</v>
      </c>
      <c r="C147" s="80"/>
      <c r="D147" s="80"/>
      <c r="E147" s="80"/>
      <c r="F147" s="80"/>
      <c r="G147" s="126"/>
      <c r="H147" s="126"/>
      <c r="I147" s="80"/>
      <c r="J147" s="80"/>
      <c r="K147" s="80"/>
      <c r="L147" s="80"/>
      <c r="M147" s="80"/>
      <c r="N147" s="80"/>
      <c r="O147" s="80"/>
      <c r="P147" s="80"/>
      <c r="Q147" s="80"/>
      <c r="R147" s="80"/>
      <c r="S147" s="80"/>
      <c r="T147" s="80"/>
      <c r="U147" s="80"/>
      <c r="V147" s="80"/>
      <c r="W147" s="80"/>
      <c r="X147" s="80"/>
      <c r="Y147" s="80"/>
      <c r="Z147" s="80"/>
    </row>
    <row r="148" spans="1:26" x14ac:dyDescent="0.25">
      <c r="A148" s="80" t="s">
        <v>201</v>
      </c>
      <c r="B148" s="80" t="s">
        <v>212</v>
      </c>
      <c r="C148" s="80" t="s">
        <v>915</v>
      </c>
      <c r="D148" s="80"/>
      <c r="E148" s="80"/>
      <c r="F148" s="80"/>
      <c r="G148" s="126"/>
      <c r="H148" s="126"/>
      <c r="I148" s="80"/>
      <c r="J148" s="80"/>
      <c r="K148" s="80"/>
      <c r="L148" s="80"/>
      <c r="M148" s="80"/>
      <c r="N148" s="80"/>
      <c r="O148" s="80"/>
      <c r="P148" s="80"/>
      <c r="Q148" s="80"/>
      <c r="R148" s="80"/>
      <c r="S148" s="80"/>
      <c r="T148" s="80"/>
      <c r="U148" s="80"/>
      <c r="V148" s="80"/>
      <c r="W148" s="80"/>
      <c r="X148" s="80"/>
      <c r="Y148" s="80"/>
      <c r="Z148" s="80"/>
    </row>
    <row r="149" spans="1:26" x14ac:dyDescent="0.25">
      <c r="A149" s="80" t="s">
        <v>200</v>
      </c>
      <c r="B149" s="80" t="s">
        <v>212</v>
      </c>
      <c r="C149" s="80" t="s">
        <v>915</v>
      </c>
      <c r="D149" s="80"/>
      <c r="E149" s="80"/>
      <c r="F149" s="83"/>
      <c r="G149" s="126"/>
      <c r="H149" s="126"/>
      <c r="I149" s="80"/>
      <c r="J149" s="80"/>
      <c r="K149" s="80"/>
      <c r="L149" s="80"/>
      <c r="M149" s="80"/>
      <c r="N149" s="80"/>
      <c r="O149" s="80"/>
      <c r="P149" s="80"/>
      <c r="Q149" s="80"/>
      <c r="R149" s="80"/>
      <c r="S149" s="80"/>
      <c r="T149" s="80"/>
      <c r="U149" s="80"/>
      <c r="V149" s="80"/>
      <c r="W149" s="80"/>
      <c r="X149" s="80"/>
      <c r="Y149" s="80"/>
      <c r="Z149" s="80"/>
    </row>
    <row r="150" spans="1:26" x14ac:dyDescent="0.25">
      <c r="A150" s="80" t="s">
        <v>198</v>
      </c>
      <c r="B150" s="80" t="s">
        <v>214</v>
      </c>
      <c r="C150" s="80" t="s">
        <v>915</v>
      </c>
      <c r="D150" s="80"/>
      <c r="E150" s="80"/>
      <c r="F150" s="80"/>
      <c r="G150" s="126"/>
      <c r="H150" s="126"/>
      <c r="I150" s="80"/>
      <c r="J150" s="80"/>
      <c r="K150" s="80"/>
      <c r="L150" s="80"/>
      <c r="M150" s="80"/>
      <c r="N150" s="80"/>
      <c r="O150" s="80"/>
      <c r="P150" s="80"/>
      <c r="Q150" s="80"/>
      <c r="R150" s="80"/>
      <c r="S150" s="80"/>
      <c r="T150" s="80"/>
      <c r="U150" s="80"/>
      <c r="V150" s="80"/>
      <c r="W150" s="80"/>
      <c r="X150" s="80"/>
      <c r="Y150" s="80"/>
      <c r="Z150" s="80"/>
    </row>
    <row r="151" spans="1:26" x14ac:dyDescent="0.25">
      <c r="A151" s="80" t="s">
        <v>204</v>
      </c>
      <c r="B151" s="80" t="s">
        <v>72</v>
      </c>
      <c r="C151" s="80"/>
      <c r="D151" s="80"/>
      <c r="E151" s="80"/>
      <c r="F151" s="83"/>
      <c r="G151" s="126"/>
      <c r="H151" s="126"/>
      <c r="I151" s="80"/>
      <c r="J151" s="80"/>
      <c r="K151" s="80"/>
      <c r="L151" s="80"/>
      <c r="M151" s="80"/>
      <c r="N151" s="80"/>
      <c r="O151" s="80"/>
      <c r="P151" s="80"/>
      <c r="Q151" s="80"/>
      <c r="R151" s="80"/>
      <c r="S151" s="80"/>
      <c r="T151" s="80"/>
      <c r="U151" s="80"/>
      <c r="V151" s="80"/>
      <c r="W151" s="80"/>
      <c r="X151" s="80"/>
      <c r="Y151" s="80"/>
      <c r="Z151" s="80"/>
    </row>
    <row r="152" spans="1:26" x14ac:dyDescent="0.25">
      <c r="A152" s="80" t="s">
        <v>199</v>
      </c>
      <c r="B152" s="80" t="s">
        <v>214</v>
      </c>
      <c r="C152" s="80" t="s">
        <v>915</v>
      </c>
      <c r="D152" s="80"/>
      <c r="E152" s="80"/>
      <c r="F152" s="83"/>
      <c r="G152" s="126"/>
      <c r="H152" s="126"/>
      <c r="I152" s="80"/>
      <c r="J152" s="80"/>
      <c r="K152" s="80"/>
      <c r="L152" s="80"/>
      <c r="M152" s="80"/>
      <c r="N152" s="80"/>
      <c r="O152" s="80"/>
      <c r="P152" s="80"/>
      <c r="Q152" s="80"/>
      <c r="R152" s="80"/>
      <c r="S152" s="80"/>
      <c r="T152" s="80"/>
      <c r="U152" s="80"/>
      <c r="V152" s="80"/>
      <c r="W152" s="80"/>
      <c r="X152" s="80"/>
      <c r="Y152" s="80"/>
      <c r="Z152" s="80"/>
    </row>
    <row r="153" spans="1:26" x14ac:dyDescent="0.25">
      <c r="A153" s="80" t="s">
        <v>205</v>
      </c>
      <c r="B153" s="80" t="s">
        <v>72</v>
      </c>
      <c r="C153" s="80"/>
      <c r="D153" s="80"/>
      <c r="E153" s="80"/>
      <c r="F153" s="80"/>
      <c r="G153" s="126"/>
      <c r="H153" s="126"/>
      <c r="I153" s="80"/>
      <c r="J153" s="80"/>
      <c r="K153" s="80"/>
      <c r="L153" s="80"/>
      <c r="M153" s="80"/>
      <c r="N153" s="80"/>
      <c r="O153" s="80"/>
      <c r="P153" s="80"/>
      <c r="Q153" s="80"/>
      <c r="R153" s="80"/>
      <c r="S153" s="80"/>
      <c r="T153" s="80"/>
      <c r="U153" s="80"/>
      <c r="V153" s="80"/>
      <c r="W153" s="80"/>
      <c r="X153" s="80"/>
      <c r="Y153" s="80"/>
      <c r="Z153" s="80"/>
    </row>
    <row r="154" spans="1:26" x14ac:dyDescent="0.25">
      <c r="A154" s="80" t="s">
        <v>383</v>
      </c>
      <c r="B154" s="80" t="s">
        <v>923</v>
      </c>
      <c r="C154" s="80"/>
      <c r="D154" s="80"/>
      <c r="E154" s="80"/>
      <c r="F154" s="80"/>
      <c r="G154" s="126"/>
      <c r="H154" s="126"/>
      <c r="I154" s="80"/>
      <c r="J154" s="80"/>
      <c r="K154" s="80"/>
      <c r="L154" s="80"/>
      <c r="M154" s="80"/>
      <c r="N154" s="80"/>
      <c r="O154" s="80"/>
      <c r="P154" s="80"/>
      <c r="Q154" s="80"/>
      <c r="R154" s="80"/>
      <c r="S154" s="80"/>
      <c r="T154" s="80"/>
      <c r="U154" s="80"/>
      <c r="V154" s="80"/>
      <c r="W154" s="80"/>
      <c r="X154" s="80"/>
      <c r="Y154" s="80"/>
      <c r="Z154" s="80"/>
    </row>
    <row r="155" spans="1:26" x14ac:dyDescent="0.25">
      <c r="A155" s="80" t="s">
        <v>114</v>
      </c>
      <c r="B155" s="80" t="s">
        <v>276</v>
      </c>
      <c r="C155" s="80"/>
      <c r="D155" s="80"/>
      <c r="E155" s="80"/>
      <c r="F155" s="83"/>
      <c r="G155" s="126"/>
      <c r="H155" s="126"/>
      <c r="I155" s="80"/>
      <c r="J155" s="80"/>
      <c r="K155" s="80"/>
      <c r="L155" s="80"/>
      <c r="M155" s="80"/>
      <c r="N155" s="80"/>
      <c r="O155" s="80"/>
      <c r="P155" s="80"/>
      <c r="Q155" s="80"/>
      <c r="R155" s="80"/>
      <c r="S155" s="80"/>
      <c r="T155" s="80"/>
      <c r="U155" s="80"/>
      <c r="V155" s="80"/>
      <c r="W155" s="80"/>
      <c r="X155" s="80"/>
      <c r="Y155" s="80"/>
      <c r="Z155" s="80"/>
    </row>
    <row r="156" spans="1:26" x14ac:dyDescent="0.25">
      <c r="A156" s="80" t="s">
        <v>115</v>
      </c>
      <c r="B156" s="80" t="s">
        <v>276</v>
      </c>
      <c r="C156" s="80"/>
      <c r="D156" s="80"/>
      <c r="E156" s="80"/>
      <c r="F156" s="80"/>
      <c r="G156" s="126"/>
      <c r="H156" s="126"/>
      <c r="I156" s="80"/>
      <c r="J156" s="80"/>
      <c r="K156" s="80"/>
      <c r="L156" s="80"/>
      <c r="M156" s="80"/>
      <c r="N156" s="80"/>
      <c r="O156" s="80"/>
      <c r="P156" s="80"/>
      <c r="Q156" s="80"/>
      <c r="R156" s="80"/>
      <c r="S156" s="80"/>
      <c r="T156" s="80"/>
      <c r="U156" s="80"/>
      <c r="V156" s="80"/>
      <c r="W156" s="80"/>
      <c r="X156" s="80"/>
      <c r="Y156" s="80"/>
      <c r="Z156" s="80"/>
    </row>
    <row r="157" spans="1:26" x14ac:dyDescent="0.25">
      <c r="A157" s="80" t="s">
        <v>116</v>
      </c>
      <c r="B157" s="80" t="s">
        <v>276</v>
      </c>
      <c r="C157" s="80"/>
      <c r="D157" s="80"/>
      <c r="E157" s="80"/>
      <c r="F157" s="80"/>
      <c r="G157" s="126"/>
      <c r="H157" s="126"/>
      <c r="I157" s="80"/>
      <c r="J157" s="80"/>
      <c r="K157" s="80"/>
      <c r="L157" s="80"/>
      <c r="M157" s="80"/>
      <c r="N157" s="80"/>
      <c r="O157" s="80"/>
      <c r="P157" s="80"/>
      <c r="Q157" s="80"/>
      <c r="R157" s="80"/>
      <c r="S157" s="80"/>
      <c r="T157" s="80"/>
      <c r="U157" s="80"/>
      <c r="V157" s="80"/>
      <c r="W157" s="80"/>
      <c r="X157" s="80"/>
      <c r="Y157" s="80"/>
      <c r="Z157" s="80"/>
    </row>
    <row r="158" spans="1:26" x14ac:dyDescent="0.25">
      <c r="A158" s="80" t="s">
        <v>327</v>
      </c>
      <c r="B158" s="80" t="s">
        <v>327</v>
      </c>
      <c r="C158" s="80"/>
      <c r="D158" s="80"/>
      <c r="E158" s="80"/>
      <c r="F158" s="83"/>
      <c r="G158" s="80"/>
      <c r="H158" s="80"/>
      <c r="I158" s="80"/>
      <c r="J158" s="80"/>
      <c r="K158" s="80"/>
      <c r="L158" s="80"/>
      <c r="M158" s="80"/>
      <c r="N158" s="80"/>
      <c r="O158" s="80"/>
      <c r="P158" s="80"/>
      <c r="Q158" s="80"/>
      <c r="R158" s="80"/>
      <c r="S158" s="80"/>
      <c r="T158" s="80"/>
      <c r="U158" s="80"/>
      <c r="V158" s="80"/>
      <c r="W158" s="80"/>
      <c r="X158" s="80"/>
      <c r="Y158" s="80"/>
      <c r="Z158" s="80"/>
    </row>
    <row r="159" spans="1:26" x14ac:dyDescent="0.25">
      <c r="A159" s="80" t="s">
        <v>1356</v>
      </c>
      <c r="B159" s="80" t="s">
        <v>923</v>
      </c>
      <c r="C159" s="80" t="s">
        <v>1357</v>
      </c>
      <c r="D159" s="80" t="s">
        <v>1358</v>
      </c>
      <c r="E159" s="80" t="s">
        <v>79</v>
      </c>
      <c r="F159" s="83" t="s">
        <v>1359</v>
      </c>
      <c r="G159" s="80"/>
      <c r="H159" s="80"/>
      <c r="I159" s="80"/>
      <c r="J159" s="80"/>
      <c r="K159" s="80"/>
      <c r="L159" s="80"/>
      <c r="M159" s="80"/>
      <c r="N159" s="80"/>
      <c r="O159" s="80"/>
      <c r="P159" s="80"/>
      <c r="Q159" s="80"/>
      <c r="R159" s="80"/>
      <c r="S159" s="80"/>
      <c r="T159" s="80"/>
      <c r="U159" s="80"/>
      <c r="V159" s="80"/>
      <c r="W159" s="80"/>
      <c r="X159" s="80"/>
      <c r="Y159" s="80"/>
      <c r="Z159" s="80"/>
    </row>
    <row r="160" spans="1:26" ht="45" x14ac:dyDescent="0.25">
      <c r="A160" s="80" t="s">
        <v>1360</v>
      </c>
      <c r="B160" s="80" t="s">
        <v>1361</v>
      </c>
      <c r="C160" s="80" t="s">
        <v>1362</v>
      </c>
      <c r="D160" s="80" t="s">
        <v>1363</v>
      </c>
      <c r="E160" s="80" t="s">
        <v>79</v>
      </c>
      <c r="F160" s="83" t="s">
        <v>1364</v>
      </c>
      <c r="G160" s="80"/>
      <c r="H160" s="80"/>
      <c r="I160" s="80"/>
      <c r="J160" s="80"/>
      <c r="K160" s="80"/>
      <c r="L160" s="80"/>
      <c r="M160" s="80"/>
      <c r="N160" s="80"/>
      <c r="O160" s="80"/>
      <c r="P160" s="80"/>
      <c r="Q160" s="80"/>
      <c r="R160" s="80"/>
      <c r="S160" s="80"/>
      <c r="T160" s="80"/>
      <c r="U160" s="80"/>
      <c r="V160" s="80"/>
      <c r="W160" s="80"/>
      <c r="X160" s="80"/>
      <c r="Y160" s="80"/>
      <c r="Z160" s="80"/>
    </row>
    <row r="161" spans="1:26" x14ac:dyDescent="0.25">
      <c r="A161" s="80" t="s">
        <v>1360</v>
      </c>
      <c r="B161" s="80" t="s">
        <v>1361</v>
      </c>
      <c r="C161" s="80" t="s">
        <v>1362</v>
      </c>
      <c r="D161" s="80" t="s">
        <v>1365</v>
      </c>
      <c r="E161" s="80" t="s">
        <v>79</v>
      </c>
      <c r="F161" s="80" t="s">
        <v>1366</v>
      </c>
      <c r="G161" s="80"/>
      <c r="H161" s="80"/>
      <c r="I161" s="80"/>
      <c r="J161" s="80"/>
      <c r="K161" s="80"/>
      <c r="L161" s="80"/>
      <c r="M161" s="80"/>
      <c r="N161" s="80"/>
      <c r="O161" s="80"/>
      <c r="P161" s="80"/>
      <c r="Q161" s="80"/>
      <c r="R161" s="80"/>
      <c r="S161" s="80"/>
      <c r="T161" s="80"/>
      <c r="U161" s="80"/>
      <c r="V161" s="80"/>
      <c r="W161" s="80"/>
      <c r="X161" s="80"/>
      <c r="Y161" s="80"/>
      <c r="Z161" s="80"/>
    </row>
    <row r="162" spans="1:26" x14ac:dyDescent="0.25">
      <c r="A162" s="80" t="s">
        <v>28</v>
      </c>
      <c r="B162" s="80" t="s">
        <v>75</v>
      </c>
      <c r="C162" s="80"/>
      <c r="D162" s="80"/>
      <c r="E162" s="80"/>
      <c r="F162" s="80"/>
      <c r="G162" s="80"/>
      <c r="H162" s="80"/>
      <c r="I162" s="80"/>
      <c r="J162" s="80"/>
      <c r="K162" s="80"/>
      <c r="L162" s="80"/>
      <c r="M162" s="80"/>
      <c r="N162" s="80"/>
      <c r="O162" s="80"/>
      <c r="P162" s="80"/>
      <c r="Q162" s="80"/>
      <c r="R162" s="80"/>
      <c r="S162" s="80"/>
      <c r="T162" s="80"/>
      <c r="U162" s="80"/>
      <c r="V162" s="80"/>
      <c r="W162" s="80"/>
      <c r="X162" s="80"/>
      <c r="Y162" s="80"/>
      <c r="Z162" s="80"/>
    </row>
    <row r="163" spans="1:26" x14ac:dyDescent="0.25">
      <c r="A163" s="80" t="s">
        <v>1367</v>
      </c>
      <c r="B163" s="80" t="s">
        <v>1368</v>
      </c>
      <c r="C163" s="80" t="s">
        <v>1369</v>
      </c>
      <c r="D163" s="80" t="s">
        <v>1370</v>
      </c>
      <c r="E163" s="80" t="s">
        <v>79</v>
      </c>
      <c r="F163" s="80" t="s">
        <v>1371</v>
      </c>
      <c r="G163" s="80"/>
      <c r="H163" s="80"/>
      <c r="I163" s="80"/>
      <c r="J163" s="80"/>
      <c r="K163" s="80"/>
      <c r="L163" s="80"/>
      <c r="M163" s="80"/>
      <c r="N163" s="80"/>
      <c r="O163" s="80"/>
      <c r="P163" s="80"/>
      <c r="Q163" s="80"/>
      <c r="R163" s="80"/>
      <c r="S163" s="80"/>
      <c r="T163" s="80"/>
      <c r="U163" s="80"/>
      <c r="V163" s="80"/>
      <c r="W163" s="80"/>
      <c r="X163" s="80"/>
      <c r="Y163" s="80"/>
      <c r="Z163" s="80"/>
    </row>
    <row r="164" spans="1:26" x14ac:dyDescent="0.25">
      <c r="A164" s="80" t="s">
        <v>1372</v>
      </c>
      <c r="B164" s="80" t="s">
        <v>1368</v>
      </c>
      <c r="C164" s="80" t="s">
        <v>927</v>
      </c>
      <c r="D164" s="80" t="s">
        <v>1373</v>
      </c>
      <c r="E164" s="80" t="s">
        <v>79</v>
      </c>
      <c r="F164" s="80" t="s">
        <v>1374</v>
      </c>
      <c r="G164" s="80"/>
      <c r="H164" s="80"/>
      <c r="I164" s="80"/>
      <c r="J164" s="80"/>
      <c r="K164" s="80"/>
      <c r="L164" s="80"/>
      <c r="M164" s="80"/>
      <c r="N164" s="80"/>
      <c r="O164" s="80"/>
      <c r="P164" s="80"/>
      <c r="Q164" s="80"/>
      <c r="R164" s="80"/>
      <c r="S164" s="80"/>
      <c r="T164" s="80"/>
      <c r="U164" s="80"/>
      <c r="V164" s="80"/>
      <c r="W164" s="80"/>
      <c r="X164" s="80"/>
      <c r="Y164" s="80"/>
      <c r="Z164" s="80"/>
    </row>
    <row r="165" spans="1:26" x14ac:dyDescent="0.25">
      <c r="A165" s="80" t="s">
        <v>1889</v>
      </c>
      <c r="B165" s="80" t="s">
        <v>324</v>
      </c>
      <c r="C165" s="80" t="s">
        <v>1209</v>
      </c>
      <c r="D165" s="80" t="s">
        <v>1209</v>
      </c>
      <c r="E165" s="80" t="s">
        <v>1209</v>
      </c>
      <c r="F165" s="80" t="s">
        <v>1893</v>
      </c>
      <c r="G165" s="80"/>
      <c r="H165" s="80"/>
      <c r="I165" s="80"/>
      <c r="J165" s="80"/>
      <c r="K165" s="80"/>
      <c r="L165" s="80"/>
      <c r="M165" s="80"/>
      <c r="N165" s="80"/>
      <c r="O165" s="80"/>
      <c r="P165" s="80"/>
      <c r="Q165" s="80"/>
      <c r="R165" s="80"/>
      <c r="S165" s="80"/>
      <c r="T165" s="80"/>
      <c r="U165" s="80"/>
      <c r="V165" s="80"/>
      <c r="W165" s="80"/>
      <c r="X165" s="80"/>
      <c r="Y165" s="80"/>
      <c r="Z165" s="80"/>
    </row>
    <row r="166" spans="1:26" x14ac:dyDescent="0.25">
      <c r="A166" s="80" t="s">
        <v>140</v>
      </c>
      <c r="B166" s="80" t="s">
        <v>140</v>
      </c>
      <c r="C166" s="80"/>
      <c r="D166" s="80"/>
      <c r="E166" s="80"/>
      <c r="F166" s="80"/>
      <c r="G166" s="80"/>
      <c r="H166" s="80"/>
      <c r="I166" s="80"/>
      <c r="J166" s="80"/>
      <c r="K166" s="80"/>
      <c r="L166" s="80"/>
      <c r="M166" s="80"/>
      <c r="N166" s="80"/>
      <c r="O166" s="80"/>
      <c r="P166" s="80"/>
      <c r="Q166" s="80"/>
      <c r="R166" s="80"/>
      <c r="S166" s="80"/>
      <c r="T166" s="80"/>
      <c r="U166" s="80"/>
      <c r="V166" s="80"/>
      <c r="W166" s="80"/>
      <c r="X166" s="80"/>
      <c r="Y166" s="80"/>
      <c r="Z166" s="80"/>
    </row>
    <row r="167" spans="1:26" x14ac:dyDescent="0.25">
      <c r="A167" s="80" t="s">
        <v>1195</v>
      </c>
      <c r="B167" s="80" t="s">
        <v>149</v>
      </c>
      <c r="C167" s="80" t="s">
        <v>1196</v>
      </c>
      <c r="D167" s="80" t="s">
        <v>285</v>
      </c>
      <c r="E167" s="80" t="s">
        <v>79</v>
      </c>
      <c r="F167" s="80" t="s">
        <v>1197</v>
      </c>
      <c r="G167" s="80"/>
      <c r="H167" s="80"/>
      <c r="I167" s="80"/>
      <c r="J167" s="80"/>
      <c r="K167" s="80"/>
      <c r="L167" s="80"/>
      <c r="M167" s="80"/>
      <c r="N167" s="80"/>
      <c r="O167" s="80"/>
      <c r="P167" s="80"/>
      <c r="Q167" s="80"/>
      <c r="R167" s="80"/>
      <c r="S167" s="80"/>
      <c r="T167" s="80"/>
      <c r="U167" s="80"/>
      <c r="V167" s="80"/>
      <c r="W167" s="80"/>
      <c r="X167" s="80"/>
      <c r="Y167" s="80"/>
      <c r="Z167" s="80"/>
    </row>
    <row r="168" spans="1:26" x14ac:dyDescent="0.25">
      <c r="A168" s="80" t="s">
        <v>128</v>
      </c>
      <c r="B168" s="80" t="s">
        <v>149</v>
      </c>
      <c r="C168" s="80"/>
      <c r="D168" s="80"/>
      <c r="E168" s="80"/>
      <c r="F168" s="80"/>
      <c r="G168" s="80"/>
      <c r="H168" s="80"/>
      <c r="I168" s="80"/>
      <c r="J168" s="80"/>
      <c r="K168" s="80"/>
      <c r="L168" s="80"/>
      <c r="M168" s="80"/>
      <c r="N168" s="80"/>
      <c r="O168" s="80"/>
      <c r="P168" s="80"/>
      <c r="Q168" s="80"/>
      <c r="R168" s="80"/>
      <c r="S168" s="80"/>
      <c r="T168" s="80"/>
      <c r="U168" s="80"/>
      <c r="V168" s="80"/>
      <c r="W168" s="80"/>
      <c r="X168" s="80"/>
      <c r="Y168" s="80"/>
      <c r="Z168" s="80"/>
    </row>
    <row r="169" spans="1:26" x14ac:dyDescent="0.25">
      <c r="A169" s="80" t="s">
        <v>123</v>
      </c>
      <c r="B169" s="80" t="s">
        <v>149</v>
      </c>
      <c r="C169" s="80"/>
      <c r="D169" s="80"/>
      <c r="E169" s="80"/>
      <c r="F169" s="80"/>
      <c r="G169" s="80"/>
      <c r="H169" s="80"/>
      <c r="I169" s="80"/>
      <c r="J169" s="80"/>
      <c r="K169" s="80"/>
      <c r="L169" s="80"/>
      <c r="M169" s="80"/>
      <c r="N169" s="80"/>
      <c r="O169" s="80"/>
      <c r="P169" s="80"/>
      <c r="Q169" s="80"/>
      <c r="R169" s="80"/>
      <c r="S169" s="80"/>
      <c r="T169" s="80"/>
      <c r="U169" s="80"/>
      <c r="V169" s="80"/>
      <c r="W169" s="80"/>
      <c r="X169" s="80"/>
      <c r="Y169" s="80"/>
      <c r="Z169" s="80"/>
    </row>
    <row r="170" spans="1:26" x14ac:dyDescent="0.25">
      <c r="A170" s="80" t="s">
        <v>924</v>
      </c>
      <c r="B170" s="80" t="s">
        <v>149</v>
      </c>
      <c r="C170" s="80"/>
      <c r="D170" s="80"/>
      <c r="E170" s="80"/>
      <c r="F170" s="80"/>
      <c r="G170" s="80"/>
      <c r="H170" s="80"/>
      <c r="I170" s="80"/>
      <c r="J170" s="80"/>
      <c r="K170" s="80"/>
      <c r="L170" s="80"/>
      <c r="M170" s="80"/>
      <c r="N170" s="80"/>
      <c r="O170" s="80"/>
      <c r="P170" s="80"/>
      <c r="Q170" s="80"/>
      <c r="R170" s="80"/>
      <c r="S170" s="80"/>
      <c r="T170" s="80"/>
      <c r="U170" s="80"/>
      <c r="V170" s="80"/>
      <c r="W170" s="80"/>
      <c r="X170" s="80"/>
      <c r="Y170" s="80"/>
      <c r="Z170" s="80"/>
    </row>
    <row r="171" spans="1:26" x14ac:dyDescent="0.25">
      <c r="A171" s="80" t="s">
        <v>313</v>
      </c>
      <c r="B171" s="80" t="s">
        <v>314</v>
      </c>
      <c r="C171" s="80"/>
      <c r="D171" s="80"/>
      <c r="E171" s="80"/>
      <c r="F171" s="80"/>
      <c r="G171" s="80"/>
      <c r="H171" s="80"/>
      <c r="I171" s="80"/>
      <c r="J171" s="80"/>
      <c r="K171" s="80"/>
      <c r="L171" s="80"/>
      <c r="M171" s="80"/>
      <c r="N171" s="80"/>
      <c r="O171" s="80"/>
      <c r="P171" s="80"/>
      <c r="Q171" s="80"/>
      <c r="R171" s="80"/>
      <c r="S171" s="80"/>
      <c r="T171" s="80"/>
      <c r="U171" s="80"/>
      <c r="V171" s="80"/>
      <c r="W171" s="80"/>
      <c r="X171" s="80"/>
      <c r="Y171" s="80"/>
      <c r="Z171" s="80"/>
    </row>
    <row r="172" spans="1:26" x14ac:dyDescent="0.25">
      <c r="A172" s="80" t="s">
        <v>925</v>
      </c>
      <c r="B172" s="80" t="s">
        <v>149</v>
      </c>
      <c r="C172" s="80"/>
      <c r="D172" s="80"/>
      <c r="E172" s="80"/>
      <c r="F172" s="80"/>
      <c r="G172" s="80"/>
      <c r="H172" s="80"/>
      <c r="I172" s="80"/>
      <c r="J172" s="80"/>
      <c r="K172" s="80"/>
      <c r="L172" s="80"/>
      <c r="M172" s="80"/>
      <c r="N172" s="80"/>
      <c r="O172" s="80"/>
      <c r="P172" s="80"/>
      <c r="Q172" s="80"/>
      <c r="R172" s="80"/>
      <c r="S172" s="80"/>
      <c r="T172" s="80"/>
      <c r="U172" s="80"/>
      <c r="V172" s="80"/>
      <c r="W172" s="80"/>
      <c r="X172" s="80"/>
      <c r="Y172" s="80"/>
      <c r="Z172" s="80"/>
    </row>
    <row r="173" spans="1:26" x14ac:dyDescent="0.25">
      <c r="A173" s="80" t="s">
        <v>926</v>
      </c>
      <c r="B173" s="80" t="s">
        <v>149</v>
      </c>
      <c r="C173" s="80"/>
      <c r="D173" s="80"/>
      <c r="E173" s="80"/>
      <c r="F173" s="80"/>
      <c r="G173" s="80"/>
      <c r="H173" s="80"/>
      <c r="I173" s="80"/>
      <c r="J173" s="80"/>
      <c r="K173" s="80"/>
      <c r="L173" s="80"/>
      <c r="M173" s="80"/>
      <c r="N173" s="80"/>
      <c r="O173" s="80"/>
      <c r="P173" s="80"/>
      <c r="Q173" s="80"/>
      <c r="R173" s="80"/>
      <c r="S173" s="80"/>
      <c r="T173" s="80"/>
      <c r="U173" s="80"/>
      <c r="V173" s="80"/>
      <c r="W173" s="80"/>
      <c r="X173" s="80"/>
      <c r="Y173" s="80"/>
      <c r="Z173" s="80"/>
    </row>
    <row r="174" spans="1:26" x14ac:dyDescent="0.25">
      <c r="A174" s="80" t="s">
        <v>1375</v>
      </c>
      <c r="B174" s="80" t="s">
        <v>75</v>
      </c>
      <c r="C174" s="80" t="s">
        <v>915</v>
      </c>
      <c r="D174" s="80" t="s">
        <v>1376</v>
      </c>
      <c r="E174" s="80" t="s">
        <v>79</v>
      </c>
      <c r="F174" s="80" t="s">
        <v>1377</v>
      </c>
      <c r="G174" s="80"/>
      <c r="H174" s="80"/>
      <c r="I174" s="80"/>
      <c r="J174" s="80"/>
      <c r="K174" s="80"/>
      <c r="L174" s="80"/>
      <c r="M174" s="80"/>
      <c r="N174" s="80"/>
      <c r="O174" s="80"/>
      <c r="P174" s="80"/>
      <c r="Q174" s="80"/>
      <c r="R174" s="80"/>
      <c r="S174" s="80"/>
      <c r="T174" s="80"/>
      <c r="U174" s="80"/>
      <c r="V174" s="80"/>
      <c r="W174" s="80"/>
      <c r="X174" s="80"/>
      <c r="Y174" s="80"/>
      <c r="Z174" s="80"/>
    </row>
    <row r="175" spans="1:26" x14ac:dyDescent="0.25">
      <c r="A175" s="80" t="s">
        <v>1378</v>
      </c>
      <c r="B175" s="80" t="s">
        <v>75</v>
      </c>
      <c r="C175" s="80" t="s">
        <v>915</v>
      </c>
      <c r="D175" s="80" t="s">
        <v>1379</v>
      </c>
      <c r="E175" s="80" t="s">
        <v>79</v>
      </c>
      <c r="F175" s="83" t="s">
        <v>1380</v>
      </c>
      <c r="G175" s="80"/>
      <c r="H175" s="80"/>
      <c r="I175" s="80"/>
      <c r="J175" s="80"/>
      <c r="K175" s="80"/>
      <c r="L175" s="80"/>
      <c r="M175" s="80"/>
      <c r="N175" s="80"/>
      <c r="O175" s="80"/>
      <c r="P175" s="80"/>
      <c r="Q175" s="80"/>
      <c r="R175" s="80"/>
      <c r="S175" s="80"/>
      <c r="T175" s="80"/>
      <c r="U175" s="80"/>
      <c r="V175" s="80"/>
      <c r="W175" s="80"/>
      <c r="X175" s="80"/>
      <c r="Y175" s="80"/>
      <c r="Z175" s="80"/>
    </row>
    <row r="176" spans="1:26" x14ac:dyDescent="0.25">
      <c r="A176" s="80" t="s">
        <v>1381</v>
      </c>
      <c r="B176" s="80" t="s">
        <v>75</v>
      </c>
      <c r="C176" s="80" t="s">
        <v>915</v>
      </c>
      <c r="D176" s="80" t="s">
        <v>1382</v>
      </c>
      <c r="E176" s="80" t="s">
        <v>79</v>
      </c>
      <c r="F176" s="83" t="s">
        <v>1383</v>
      </c>
      <c r="G176" s="80"/>
      <c r="H176" s="80"/>
      <c r="I176" s="80"/>
      <c r="J176" s="80"/>
      <c r="K176" s="80"/>
      <c r="L176" s="80"/>
      <c r="M176" s="80"/>
      <c r="N176" s="80"/>
      <c r="O176" s="80"/>
      <c r="P176" s="80"/>
      <c r="Q176" s="80"/>
      <c r="R176" s="80"/>
      <c r="S176" s="80"/>
      <c r="T176" s="80"/>
      <c r="U176" s="80"/>
      <c r="V176" s="80"/>
      <c r="W176" s="80"/>
      <c r="X176" s="80"/>
      <c r="Y176" s="80"/>
      <c r="Z176" s="80"/>
    </row>
    <row r="177" spans="1:26" x14ac:dyDescent="0.25">
      <c r="A177" s="80" t="s">
        <v>1384</v>
      </c>
      <c r="B177" s="80" t="s">
        <v>75</v>
      </c>
      <c r="C177" s="80" t="s">
        <v>915</v>
      </c>
      <c r="D177" s="80" t="s">
        <v>1385</v>
      </c>
      <c r="E177" s="80" t="s">
        <v>79</v>
      </c>
      <c r="F177" s="83" t="s">
        <v>1386</v>
      </c>
      <c r="G177" s="80"/>
      <c r="H177" s="80"/>
      <c r="I177" s="80"/>
      <c r="J177" s="80"/>
      <c r="K177" s="80"/>
      <c r="L177" s="80"/>
      <c r="M177" s="80"/>
      <c r="N177" s="80"/>
      <c r="O177" s="80"/>
      <c r="P177" s="80"/>
      <c r="Q177" s="80"/>
      <c r="R177" s="80"/>
      <c r="S177" s="80"/>
      <c r="T177" s="80"/>
      <c r="U177" s="80"/>
      <c r="V177" s="80"/>
      <c r="W177" s="80"/>
      <c r="X177" s="80"/>
      <c r="Y177" s="80"/>
      <c r="Z177" s="80"/>
    </row>
    <row r="178" spans="1:26" x14ac:dyDescent="0.25">
      <c r="A178" s="80" t="s">
        <v>1387</v>
      </c>
      <c r="B178" s="80" t="s">
        <v>103</v>
      </c>
      <c r="C178" s="80" t="s">
        <v>915</v>
      </c>
      <c r="D178" s="80" t="s">
        <v>1388</v>
      </c>
      <c r="E178" s="80" t="s">
        <v>79</v>
      </c>
      <c r="F178" s="83" t="s">
        <v>1389</v>
      </c>
      <c r="G178" s="80"/>
      <c r="H178" s="80"/>
      <c r="I178" s="80"/>
      <c r="J178" s="80"/>
      <c r="K178" s="80"/>
      <c r="L178" s="80"/>
      <c r="M178" s="80"/>
      <c r="N178" s="80"/>
      <c r="O178" s="80"/>
      <c r="P178" s="80"/>
      <c r="Q178" s="80"/>
      <c r="R178" s="80"/>
      <c r="S178" s="80"/>
      <c r="T178" s="80"/>
      <c r="U178" s="80"/>
      <c r="V178" s="80"/>
      <c r="W178" s="80"/>
      <c r="X178" s="80"/>
      <c r="Y178" s="80"/>
      <c r="Z178" s="80"/>
    </row>
    <row r="179" spans="1:26" x14ac:dyDescent="0.25">
      <c r="A179" s="80" t="s">
        <v>26</v>
      </c>
      <c r="B179" s="80" t="s">
        <v>75</v>
      </c>
      <c r="C179" s="80"/>
      <c r="D179" s="80"/>
      <c r="E179" s="80"/>
      <c r="F179" s="83"/>
      <c r="G179" s="80"/>
      <c r="H179" s="80"/>
      <c r="I179" s="80"/>
      <c r="J179" s="80"/>
      <c r="K179" s="80"/>
      <c r="L179" s="80"/>
      <c r="M179" s="80"/>
      <c r="N179" s="80"/>
      <c r="O179" s="80"/>
      <c r="P179" s="80"/>
      <c r="Q179" s="80"/>
      <c r="R179" s="80"/>
      <c r="S179" s="80"/>
      <c r="T179" s="80"/>
      <c r="U179" s="80"/>
      <c r="V179" s="80"/>
      <c r="W179" s="80"/>
      <c r="X179" s="80"/>
      <c r="Y179" s="80"/>
      <c r="Z179" s="80"/>
    </row>
    <row r="180" spans="1:26" x14ac:dyDescent="0.25">
      <c r="A180" s="80" t="s">
        <v>27</v>
      </c>
      <c r="B180" s="80" t="s">
        <v>75</v>
      </c>
      <c r="C180" s="80"/>
      <c r="D180" s="80"/>
      <c r="E180" s="80"/>
      <c r="F180" s="83"/>
      <c r="G180" s="80"/>
      <c r="H180" s="80"/>
      <c r="I180" s="80"/>
      <c r="J180" s="80"/>
      <c r="K180" s="80"/>
      <c r="L180" s="80"/>
      <c r="M180" s="80"/>
      <c r="N180" s="80"/>
      <c r="O180" s="80"/>
      <c r="P180" s="80"/>
      <c r="Q180" s="80"/>
      <c r="R180" s="80"/>
      <c r="S180" s="80"/>
      <c r="T180" s="80"/>
      <c r="U180" s="80"/>
      <c r="V180" s="80"/>
      <c r="W180" s="80"/>
      <c r="X180" s="80"/>
      <c r="Y180" s="80"/>
      <c r="Z180" s="80"/>
    </row>
    <row r="181" spans="1:26" x14ac:dyDescent="0.25">
      <c r="A181" s="80" t="s">
        <v>851</v>
      </c>
      <c r="B181" s="80" t="s">
        <v>314</v>
      </c>
      <c r="C181" s="80"/>
      <c r="D181" s="80"/>
      <c r="E181" s="80"/>
      <c r="F181" s="83"/>
      <c r="G181" s="80"/>
      <c r="H181" s="80"/>
      <c r="I181" s="80"/>
      <c r="J181" s="80"/>
      <c r="K181" s="80"/>
      <c r="L181" s="80"/>
      <c r="M181" s="80"/>
      <c r="N181" s="80"/>
      <c r="O181" s="80"/>
      <c r="P181" s="80"/>
      <c r="Q181" s="80"/>
      <c r="R181" s="80"/>
      <c r="S181" s="80"/>
      <c r="T181" s="80"/>
      <c r="U181" s="80"/>
      <c r="V181" s="80"/>
      <c r="W181" s="80"/>
      <c r="X181" s="80"/>
      <c r="Y181" s="80"/>
      <c r="Z181" s="80"/>
    </row>
    <row r="182" spans="1:26" x14ac:dyDescent="0.25">
      <c r="A182" s="80" t="s">
        <v>1390</v>
      </c>
      <c r="B182" s="80" t="s">
        <v>851</v>
      </c>
      <c r="C182" s="80" t="s">
        <v>1391</v>
      </c>
      <c r="D182" s="80" t="s">
        <v>1392</v>
      </c>
      <c r="E182" s="80" t="s">
        <v>79</v>
      </c>
      <c r="F182" s="83" t="s">
        <v>1393</v>
      </c>
      <c r="G182" s="80"/>
      <c r="H182" s="80"/>
      <c r="I182" s="80"/>
      <c r="J182" s="80"/>
      <c r="K182" s="80"/>
      <c r="L182" s="80"/>
      <c r="M182" s="80"/>
      <c r="N182" s="80"/>
      <c r="O182" s="80"/>
      <c r="P182" s="80"/>
      <c r="Q182" s="80"/>
      <c r="R182" s="80"/>
      <c r="S182" s="80"/>
      <c r="T182" s="80"/>
      <c r="U182" s="80"/>
      <c r="V182" s="80"/>
      <c r="W182" s="80"/>
      <c r="X182" s="80"/>
      <c r="Y182" s="80"/>
      <c r="Z182" s="80"/>
    </row>
    <row r="183" spans="1:26" x14ac:dyDescent="0.25">
      <c r="A183" s="80" t="s">
        <v>852</v>
      </c>
      <c r="B183" s="80" t="s">
        <v>314</v>
      </c>
      <c r="C183" s="80"/>
      <c r="D183" s="80"/>
      <c r="E183" s="80"/>
      <c r="F183" s="83"/>
      <c r="G183" s="80"/>
      <c r="H183" s="80"/>
      <c r="I183" s="80"/>
      <c r="J183" s="80"/>
      <c r="K183" s="80"/>
      <c r="L183" s="80"/>
      <c r="M183" s="80"/>
      <c r="N183" s="80"/>
      <c r="O183" s="80"/>
      <c r="P183" s="80"/>
      <c r="Q183" s="80"/>
      <c r="R183" s="80"/>
      <c r="S183" s="80"/>
      <c r="T183" s="80"/>
      <c r="U183" s="80"/>
      <c r="V183" s="80"/>
      <c r="W183" s="80"/>
      <c r="X183" s="80"/>
      <c r="Y183" s="80"/>
      <c r="Z183" s="80"/>
    </row>
    <row r="184" spans="1:26" x14ac:dyDescent="0.25">
      <c r="A184" s="80" t="s">
        <v>57</v>
      </c>
      <c r="B184" s="80" t="s">
        <v>74</v>
      </c>
      <c r="C184" s="80"/>
      <c r="D184" s="80"/>
      <c r="E184" s="80"/>
      <c r="F184" s="83"/>
      <c r="G184" s="80"/>
      <c r="H184" s="80"/>
      <c r="I184" s="80"/>
      <c r="J184" s="80"/>
      <c r="K184" s="80"/>
      <c r="L184" s="80"/>
      <c r="M184" s="80"/>
      <c r="N184" s="80"/>
      <c r="O184" s="80"/>
      <c r="P184" s="80"/>
      <c r="Q184" s="80"/>
      <c r="R184" s="80"/>
      <c r="S184" s="80"/>
      <c r="T184" s="80"/>
      <c r="U184" s="80"/>
      <c r="V184" s="80"/>
      <c r="W184" s="80"/>
      <c r="X184" s="80"/>
      <c r="Y184" s="80"/>
      <c r="Z184" s="80"/>
    </row>
    <row r="185" spans="1:26" x14ac:dyDescent="0.25">
      <c r="A185" s="80" t="s">
        <v>45</v>
      </c>
      <c r="B185" s="80" t="s">
        <v>74</v>
      </c>
      <c r="C185" s="80"/>
      <c r="D185" s="80"/>
      <c r="E185" s="80"/>
      <c r="F185" s="83"/>
      <c r="G185" s="80"/>
      <c r="H185" s="80"/>
      <c r="I185" s="80"/>
      <c r="J185" s="80"/>
      <c r="K185" s="80"/>
      <c r="L185" s="80"/>
      <c r="M185" s="80"/>
      <c r="N185" s="80"/>
      <c r="O185" s="80"/>
      <c r="P185" s="80"/>
      <c r="Q185" s="80"/>
      <c r="R185" s="80"/>
      <c r="S185" s="80"/>
      <c r="T185" s="80"/>
      <c r="U185" s="80"/>
      <c r="V185" s="80"/>
      <c r="W185" s="80"/>
      <c r="X185" s="80"/>
      <c r="Y185" s="80"/>
      <c r="Z185" s="80"/>
    </row>
    <row r="186" spans="1:26" x14ac:dyDescent="0.25">
      <c r="A186" s="80" t="s">
        <v>702</v>
      </c>
      <c r="B186" s="80" t="s">
        <v>437</v>
      </c>
      <c r="C186" s="80"/>
      <c r="D186" s="80"/>
      <c r="E186" s="80"/>
      <c r="F186" s="83"/>
      <c r="G186" s="80"/>
      <c r="H186" s="80"/>
      <c r="I186" s="80"/>
      <c r="J186" s="80"/>
      <c r="K186" s="80"/>
      <c r="L186" s="80"/>
      <c r="M186" s="80"/>
      <c r="N186" s="80"/>
      <c r="O186" s="80"/>
      <c r="P186" s="80"/>
      <c r="Q186" s="80"/>
      <c r="R186" s="80"/>
      <c r="S186" s="80"/>
      <c r="T186" s="80"/>
      <c r="U186" s="80"/>
      <c r="V186" s="80"/>
      <c r="W186" s="80"/>
      <c r="X186" s="80"/>
      <c r="Y186" s="80"/>
      <c r="Z186" s="80"/>
    </row>
    <row r="187" spans="1:26" x14ac:dyDescent="0.25">
      <c r="A187" s="80" t="s">
        <v>1394</v>
      </c>
      <c r="B187" s="80" t="s">
        <v>1395</v>
      </c>
      <c r="C187" s="80" t="s">
        <v>1357</v>
      </c>
      <c r="D187" s="80" t="s">
        <v>1396</v>
      </c>
      <c r="E187" s="80" t="s">
        <v>79</v>
      </c>
      <c r="F187" s="80" t="s">
        <v>1397</v>
      </c>
      <c r="G187" s="80"/>
      <c r="H187" s="80"/>
      <c r="I187" s="80"/>
      <c r="J187" s="80"/>
      <c r="K187" s="80"/>
      <c r="L187" s="80"/>
      <c r="M187" s="80"/>
      <c r="N187" s="80"/>
      <c r="O187" s="80"/>
      <c r="P187" s="80"/>
      <c r="Q187" s="80"/>
      <c r="R187" s="80"/>
      <c r="S187" s="80"/>
      <c r="T187" s="80"/>
      <c r="U187" s="80"/>
      <c r="V187" s="80"/>
      <c r="W187" s="80"/>
      <c r="X187" s="80"/>
      <c r="Y187" s="80"/>
      <c r="Z187" s="80"/>
    </row>
    <row r="188" spans="1:26" x14ac:dyDescent="0.25">
      <c r="A188" s="80" t="s">
        <v>1058</v>
      </c>
      <c r="B188" s="80" t="s">
        <v>750</v>
      </c>
      <c r="C188" s="80" t="s">
        <v>525</v>
      </c>
      <c r="D188" s="80" t="s">
        <v>79</v>
      </c>
      <c r="E188" s="80" t="s">
        <v>79</v>
      </c>
      <c r="F188" s="83" t="s">
        <v>1059</v>
      </c>
      <c r="G188" s="80"/>
      <c r="H188" s="80"/>
      <c r="I188" s="80"/>
      <c r="J188" s="80"/>
      <c r="K188" s="80"/>
      <c r="L188" s="80"/>
      <c r="M188" s="80"/>
      <c r="N188" s="80"/>
      <c r="O188" s="80"/>
      <c r="P188" s="80"/>
      <c r="Q188" s="80"/>
      <c r="R188" s="80"/>
      <c r="S188" s="80"/>
      <c r="T188" s="80"/>
      <c r="U188" s="80"/>
      <c r="V188" s="80"/>
      <c r="W188" s="80"/>
      <c r="X188" s="80"/>
      <c r="Y188" s="80"/>
      <c r="Z188" s="80"/>
    </row>
    <row r="189" spans="1:26" x14ac:dyDescent="0.25">
      <c r="A189" s="80" t="s">
        <v>1398</v>
      </c>
      <c r="B189" s="80" t="s">
        <v>1399</v>
      </c>
      <c r="C189" s="80" t="s">
        <v>915</v>
      </c>
      <c r="D189" s="80" t="s">
        <v>1400</v>
      </c>
      <c r="E189" s="80" t="s">
        <v>79</v>
      </c>
      <c r="F189" s="80" t="s">
        <v>1401</v>
      </c>
      <c r="G189" s="80"/>
      <c r="H189" s="80"/>
      <c r="I189" s="80"/>
      <c r="J189" s="80"/>
      <c r="K189" s="80"/>
      <c r="L189" s="80"/>
      <c r="M189" s="80"/>
      <c r="N189" s="80"/>
      <c r="O189" s="80"/>
      <c r="P189" s="80"/>
      <c r="Q189" s="80"/>
      <c r="R189" s="80"/>
      <c r="S189" s="80"/>
      <c r="T189" s="80"/>
      <c r="U189" s="80"/>
      <c r="V189" s="80"/>
      <c r="W189" s="80"/>
      <c r="X189" s="80"/>
      <c r="Y189" s="80"/>
      <c r="Z189" s="80"/>
    </row>
    <row r="190" spans="1:26" x14ac:dyDescent="0.25">
      <c r="A190" s="80" t="s">
        <v>1398</v>
      </c>
      <c r="B190" s="80" t="s">
        <v>1399</v>
      </c>
      <c r="C190" s="80" t="s">
        <v>915</v>
      </c>
      <c r="D190" s="80" t="s">
        <v>1402</v>
      </c>
      <c r="E190" s="80" t="s">
        <v>79</v>
      </c>
      <c r="F190" s="83" t="s">
        <v>1401</v>
      </c>
      <c r="G190" s="80"/>
      <c r="H190" s="80"/>
      <c r="I190" s="80"/>
      <c r="J190" s="80"/>
      <c r="K190" s="80"/>
      <c r="L190" s="80"/>
      <c r="M190" s="80"/>
      <c r="N190" s="80"/>
      <c r="O190" s="80"/>
      <c r="P190" s="80"/>
      <c r="Q190" s="80"/>
      <c r="R190" s="80"/>
      <c r="S190" s="80"/>
      <c r="T190" s="80"/>
      <c r="U190" s="80"/>
      <c r="V190" s="80"/>
      <c r="W190" s="80"/>
      <c r="X190" s="80"/>
      <c r="Y190" s="80"/>
      <c r="Z190" s="80"/>
    </row>
    <row r="191" spans="1:26" ht="30" x14ac:dyDescent="0.25">
      <c r="A191" s="80" t="s">
        <v>1398</v>
      </c>
      <c r="B191" s="80" t="s">
        <v>1399</v>
      </c>
      <c r="C191" s="80" t="s">
        <v>915</v>
      </c>
      <c r="D191" s="80" t="s">
        <v>1894</v>
      </c>
      <c r="E191" s="80" t="s">
        <v>79</v>
      </c>
      <c r="F191" s="83" t="s">
        <v>1895</v>
      </c>
      <c r="G191" s="80"/>
      <c r="H191" s="80"/>
      <c r="I191" s="80"/>
      <c r="J191" s="80"/>
      <c r="K191" s="80"/>
      <c r="L191" s="80"/>
      <c r="M191" s="80"/>
      <c r="N191" s="80"/>
      <c r="O191" s="80"/>
      <c r="P191" s="80"/>
      <c r="Q191" s="80"/>
      <c r="R191" s="80"/>
      <c r="S191" s="80"/>
      <c r="T191" s="80"/>
      <c r="U191" s="80"/>
      <c r="V191" s="80"/>
      <c r="W191" s="80"/>
      <c r="X191" s="80"/>
      <c r="Y191" s="80"/>
      <c r="Z191" s="80"/>
    </row>
    <row r="192" spans="1:26" x14ac:dyDescent="0.25">
      <c r="A192" s="80" t="s">
        <v>328</v>
      </c>
      <c r="B192" s="80" t="s">
        <v>871</v>
      </c>
      <c r="C192" s="80"/>
      <c r="D192" s="80"/>
      <c r="E192" s="80"/>
      <c r="F192" s="83"/>
      <c r="G192" s="80"/>
      <c r="H192" s="80"/>
      <c r="I192" s="80"/>
      <c r="J192" s="80"/>
      <c r="K192" s="80"/>
      <c r="L192" s="80"/>
      <c r="M192" s="80"/>
      <c r="N192" s="80"/>
      <c r="O192" s="80"/>
      <c r="P192" s="80"/>
      <c r="Q192" s="80"/>
      <c r="R192" s="80"/>
      <c r="S192" s="80"/>
      <c r="T192" s="80"/>
      <c r="U192" s="80"/>
      <c r="V192" s="80"/>
      <c r="W192" s="80"/>
      <c r="X192" s="80"/>
      <c r="Y192" s="80"/>
      <c r="Z192" s="80"/>
    </row>
    <row r="193" spans="1:26" x14ac:dyDescent="0.25">
      <c r="A193" s="80" t="s">
        <v>85</v>
      </c>
      <c r="B193" s="80" t="s">
        <v>85</v>
      </c>
      <c r="C193" s="80" t="s">
        <v>84</v>
      </c>
      <c r="D193" s="80" t="s">
        <v>1406</v>
      </c>
      <c r="E193" s="80" t="s">
        <v>79</v>
      </c>
      <c r="F193" s="83" t="s">
        <v>1407</v>
      </c>
      <c r="G193" s="80"/>
      <c r="H193" s="80"/>
      <c r="I193" s="80"/>
      <c r="J193" s="80"/>
      <c r="K193" s="80"/>
      <c r="L193" s="80"/>
      <c r="M193" s="80"/>
      <c r="N193" s="80"/>
      <c r="O193" s="80"/>
      <c r="P193" s="80"/>
      <c r="Q193" s="80"/>
      <c r="R193" s="80"/>
      <c r="S193" s="80"/>
      <c r="T193" s="80"/>
      <c r="U193" s="80"/>
      <c r="V193" s="80"/>
      <c r="W193" s="80"/>
      <c r="X193" s="80"/>
      <c r="Y193" s="80"/>
      <c r="Z193" s="80"/>
    </row>
    <row r="194" spans="1:26" ht="30" x14ac:dyDescent="0.25">
      <c r="A194" s="80" t="s">
        <v>85</v>
      </c>
      <c r="B194" s="80" t="s">
        <v>85</v>
      </c>
      <c r="C194" s="80" t="s">
        <v>84</v>
      </c>
      <c r="D194" s="80" t="s">
        <v>1170</v>
      </c>
      <c r="E194" s="80" t="s">
        <v>79</v>
      </c>
      <c r="F194" s="83" t="s">
        <v>1408</v>
      </c>
      <c r="G194" s="80"/>
      <c r="H194" s="80"/>
      <c r="I194" s="80"/>
      <c r="J194" s="80"/>
      <c r="K194" s="80"/>
      <c r="L194" s="80"/>
      <c r="M194" s="80"/>
      <c r="N194" s="80"/>
      <c r="O194" s="80"/>
      <c r="P194" s="80"/>
      <c r="Q194" s="80"/>
      <c r="R194" s="80"/>
      <c r="S194" s="80"/>
      <c r="T194" s="80"/>
      <c r="U194" s="80"/>
      <c r="V194" s="80"/>
      <c r="W194" s="80"/>
      <c r="X194" s="80"/>
      <c r="Y194" s="80"/>
      <c r="Z194" s="80"/>
    </row>
    <row r="195" spans="1:26" ht="60" x14ac:dyDescent="0.25">
      <c r="A195" s="80" t="s">
        <v>1544</v>
      </c>
      <c r="B195" s="80" t="s">
        <v>85</v>
      </c>
      <c r="C195" s="80" t="s">
        <v>1403</v>
      </c>
      <c r="D195" s="80" t="s">
        <v>1404</v>
      </c>
      <c r="E195" s="80" t="s">
        <v>79</v>
      </c>
      <c r="F195" s="83" t="s">
        <v>1405</v>
      </c>
      <c r="G195" s="80"/>
      <c r="H195" s="80"/>
      <c r="I195" s="80"/>
      <c r="J195" s="80"/>
      <c r="K195" s="80"/>
      <c r="L195" s="80"/>
      <c r="M195" s="80"/>
      <c r="N195" s="80"/>
      <c r="O195" s="80"/>
      <c r="P195" s="80"/>
      <c r="Q195" s="80"/>
      <c r="R195" s="80"/>
      <c r="S195" s="80"/>
      <c r="T195" s="80"/>
      <c r="U195" s="80"/>
      <c r="V195" s="80"/>
      <c r="W195" s="80"/>
      <c r="X195" s="80"/>
      <c r="Y195" s="80"/>
      <c r="Z195" s="80"/>
    </row>
    <row r="196" spans="1:26" ht="45" x14ac:dyDescent="0.25">
      <c r="A196" s="80" t="s">
        <v>1803</v>
      </c>
      <c r="B196" s="80" t="s">
        <v>85</v>
      </c>
      <c r="C196" s="80" t="s">
        <v>1403</v>
      </c>
      <c r="D196" s="80" t="s">
        <v>1804</v>
      </c>
      <c r="E196" s="80" t="s">
        <v>79</v>
      </c>
      <c r="F196" s="83" t="s">
        <v>1812</v>
      </c>
      <c r="G196" s="80"/>
      <c r="H196" s="80"/>
      <c r="I196" s="80"/>
      <c r="J196" s="80"/>
      <c r="K196" s="80"/>
      <c r="L196" s="80"/>
      <c r="M196" s="80"/>
      <c r="N196" s="80"/>
      <c r="O196" s="80"/>
      <c r="P196" s="80"/>
      <c r="Q196" s="80"/>
      <c r="R196" s="80"/>
      <c r="S196" s="80"/>
      <c r="T196" s="80"/>
      <c r="U196" s="80"/>
      <c r="V196" s="80"/>
      <c r="W196" s="80"/>
      <c r="X196" s="80"/>
      <c r="Y196" s="80"/>
      <c r="Z196" s="80"/>
    </row>
    <row r="197" spans="1:26" ht="30" x14ac:dyDescent="0.25">
      <c r="A197" s="80" t="s">
        <v>1409</v>
      </c>
      <c r="B197" s="80" t="s">
        <v>85</v>
      </c>
      <c r="C197" s="80" t="s">
        <v>1248</v>
      </c>
      <c r="D197" s="80" t="s">
        <v>1410</v>
      </c>
      <c r="E197" s="80" t="s">
        <v>79</v>
      </c>
      <c r="F197" s="83" t="s">
        <v>1411</v>
      </c>
      <c r="G197" s="80"/>
      <c r="H197" s="80"/>
      <c r="I197" s="80"/>
      <c r="J197" s="80"/>
      <c r="K197" s="80"/>
      <c r="L197" s="80"/>
      <c r="M197" s="80"/>
      <c r="N197" s="80"/>
      <c r="O197" s="80"/>
      <c r="P197" s="80"/>
      <c r="Q197" s="80"/>
      <c r="R197" s="80"/>
      <c r="S197" s="80"/>
      <c r="T197" s="80"/>
      <c r="U197" s="80"/>
      <c r="V197" s="80"/>
      <c r="W197" s="80"/>
      <c r="X197" s="80"/>
      <c r="Y197" s="80"/>
      <c r="Z197" s="80"/>
    </row>
    <row r="198" spans="1:26" x14ac:dyDescent="0.25">
      <c r="A198" s="80" t="s">
        <v>1574</v>
      </c>
      <c r="B198" s="80" t="s">
        <v>85</v>
      </c>
      <c r="C198" s="80" t="s">
        <v>1575</v>
      </c>
      <c r="D198" s="80" t="s">
        <v>1576</v>
      </c>
      <c r="E198" s="80" t="s">
        <v>79</v>
      </c>
      <c r="F198" s="80" t="s">
        <v>1577</v>
      </c>
      <c r="G198" s="80"/>
      <c r="H198" s="80"/>
      <c r="I198" s="80"/>
      <c r="J198" s="80"/>
      <c r="K198" s="80"/>
      <c r="L198" s="80"/>
      <c r="M198" s="80"/>
      <c r="N198" s="80"/>
      <c r="O198" s="80"/>
      <c r="P198" s="80"/>
      <c r="Q198" s="80"/>
      <c r="R198" s="80"/>
      <c r="S198" s="80"/>
      <c r="T198" s="80"/>
      <c r="U198" s="80"/>
      <c r="V198" s="80"/>
      <c r="W198" s="80"/>
      <c r="X198" s="80"/>
      <c r="Y198" s="80"/>
      <c r="Z198" s="80"/>
    </row>
    <row r="199" spans="1:26" x14ac:dyDescent="0.25">
      <c r="A199" s="80" t="s">
        <v>1830</v>
      </c>
      <c r="B199" s="80" t="s">
        <v>85</v>
      </c>
      <c r="C199" s="80" t="s">
        <v>84</v>
      </c>
      <c r="D199" s="80" t="s">
        <v>1831</v>
      </c>
      <c r="E199" s="80" t="s">
        <v>79</v>
      </c>
      <c r="F199" s="80" t="s">
        <v>1832</v>
      </c>
      <c r="G199" s="80"/>
      <c r="H199" s="80"/>
      <c r="I199" s="80"/>
      <c r="J199" s="80"/>
      <c r="K199" s="80"/>
      <c r="L199" s="80"/>
      <c r="M199" s="80"/>
      <c r="N199" s="80"/>
      <c r="O199" s="80"/>
      <c r="P199" s="80"/>
      <c r="Q199" s="80"/>
      <c r="R199" s="80"/>
      <c r="S199" s="80"/>
      <c r="T199" s="80"/>
      <c r="U199" s="80"/>
      <c r="V199" s="80"/>
      <c r="W199" s="80"/>
      <c r="X199" s="80"/>
      <c r="Y199" s="80"/>
      <c r="Z199" s="80"/>
    </row>
    <row r="200" spans="1:26" x14ac:dyDescent="0.25">
      <c r="A200" s="80" t="s">
        <v>72</v>
      </c>
      <c r="B200" s="80" t="s">
        <v>72</v>
      </c>
      <c r="C200" s="80"/>
      <c r="D200" s="80"/>
      <c r="E200" s="80"/>
      <c r="F200" s="80"/>
      <c r="G200" s="80"/>
      <c r="H200" s="80"/>
      <c r="I200" s="80"/>
      <c r="J200" s="80"/>
      <c r="K200" s="80"/>
      <c r="L200" s="80"/>
      <c r="M200" s="80"/>
      <c r="N200" s="80"/>
      <c r="O200" s="80"/>
      <c r="P200" s="80"/>
      <c r="Q200" s="80"/>
      <c r="R200" s="80"/>
      <c r="S200" s="80"/>
      <c r="T200" s="80"/>
      <c r="U200" s="80"/>
      <c r="V200" s="80"/>
      <c r="W200" s="80"/>
      <c r="X200" s="80"/>
      <c r="Y200" s="80"/>
      <c r="Z200" s="80"/>
    </row>
    <row r="201" spans="1:26" x14ac:dyDescent="0.25">
      <c r="A201" s="80" t="s">
        <v>1833</v>
      </c>
      <c r="B201" s="80" t="s">
        <v>72</v>
      </c>
      <c r="C201" s="80" t="s">
        <v>1834</v>
      </c>
      <c r="D201" s="80" t="s">
        <v>1835</v>
      </c>
      <c r="E201" s="80" t="s">
        <v>79</v>
      </c>
      <c r="F201" s="80" t="s">
        <v>1836</v>
      </c>
      <c r="G201" s="80"/>
      <c r="H201" s="80"/>
      <c r="I201" s="80"/>
      <c r="J201" s="80"/>
      <c r="K201" s="80"/>
      <c r="L201" s="80"/>
      <c r="M201" s="80"/>
      <c r="N201" s="80"/>
      <c r="O201" s="80"/>
      <c r="P201" s="80"/>
      <c r="Q201" s="80"/>
      <c r="R201" s="80"/>
      <c r="S201" s="80"/>
      <c r="T201" s="80"/>
      <c r="U201" s="80"/>
      <c r="V201" s="80"/>
      <c r="W201" s="80"/>
      <c r="X201" s="80"/>
      <c r="Y201" s="80"/>
      <c r="Z201" s="80"/>
    </row>
    <row r="202" spans="1:26" x14ac:dyDescent="0.25">
      <c r="A202" s="80" t="s">
        <v>1238</v>
      </c>
      <c r="B202" s="80" t="s">
        <v>213</v>
      </c>
      <c r="C202" s="80" t="s">
        <v>937</v>
      </c>
      <c r="D202" s="80" t="s">
        <v>1239</v>
      </c>
      <c r="E202" s="80" t="s">
        <v>79</v>
      </c>
      <c r="F202" s="80" t="s">
        <v>1240</v>
      </c>
      <c r="G202" s="80"/>
      <c r="H202" s="80"/>
      <c r="I202" s="80"/>
      <c r="J202" s="80"/>
      <c r="K202" s="80"/>
      <c r="L202" s="80"/>
      <c r="M202" s="80"/>
      <c r="N202" s="80"/>
      <c r="O202" s="80"/>
      <c r="P202" s="80"/>
      <c r="Q202" s="80"/>
      <c r="R202" s="80"/>
      <c r="S202" s="80"/>
      <c r="T202" s="80"/>
      <c r="U202" s="80"/>
      <c r="V202" s="80"/>
      <c r="W202" s="80"/>
      <c r="X202" s="80"/>
      <c r="Y202" s="80"/>
      <c r="Z202" s="80"/>
    </row>
    <row r="203" spans="1:26" x14ac:dyDescent="0.25">
      <c r="A203" s="80" t="s">
        <v>1238</v>
      </c>
      <c r="B203" s="80" t="s">
        <v>213</v>
      </c>
      <c r="C203" s="80" t="s">
        <v>937</v>
      </c>
      <c r="D203" s="80" t="s">
        <v>1412</v>
      </c>
      <c r="E203" s="80" t="s">
        <v>79</v>
      </c>
      <c r="F203" s="80" t="s">
        <v>1413</v>
      </c>
      <c r="G203" s="80"/>
      <c r="H203" s="80"/>
      <c r="I203" s="80"/>
      <c r="J203" s="80"/>
      <c r="K203" s="80"/>
      <c r="L203" s="80"/>
      <c r="M203" s="80"/>
      <c r="N203" s="80"/>
      <c r="O203" s="80"/>
      <c r="P203" s="80"/>
      <c r="Q203" s="80"/>
      <c r="R203" s="80"/>
      <c r="S203" s="80"/>
      <c r="T203" s="80"/>
      <c r="U203" s="80"/>
      <c r="V203" s="80"/>
      <c r="W203" s="80"/>
      <c r="X203" s="80"/>
      <c r="Y203" s="80"/>
      <c r="Z203" s="80"/>
    </row>
    <row r="204" spans="1:26" x14ac:dyDescent="0.25">
      <c r="A204" s="80" t="s">
        <v>191</v>
      </c>
      <c r="B204" s="80" t="s">
        <v>212</v>
      </c>
      <c r="C204" s="80"/>
      <c r="D204" s="80"/>
      <c r="E204" s="80"/>
      <c r="F204" s="80"/>
      <c r="G204" s="80"/>
      <c r="H204" s="80"/>
      <c r="I204" s="80"/>
      <c r="J204" s="80"/>
      <c r="K204" s="80"/>
      <c r="L204" s="80"/>
      <c r="M204" s="80"/>
      <c r="N204" s="80"/>
      <c r="O204" s="80"/>
      <c r="P204" s="80"/>
      <c r="Q204" s="80"/>
      <c r="R204" s="80"/>
      <c r="S204" s="80"/>
      <c r="T204" s="80"/>
      <c r="U204" s="80"/>
      <c r="V204" s="80"/>
      <c r="W204" s="80"/>
      <c r="X204" s="80"/>
      <c r="Y204" s="80"/>
      <c r="Z204" s="80"/>
    </row>
    <row r="205" spans="1:26" x14ac:dyDescent="0.25">
      <c r="A205" s="80" t="s">
        <v>273</v>
      </c>
      <c r="B205" s="80" t="s">
        <v>85</v>
      </c>
      <c r="C205" s="80"/>
      <c r="D205" s="80"/>
      <c r="E205" s="80"/>
      <c r="F205" s="83"/>
      <c r="G205" s="80"/>
      <c r="H205" s="80"/>
      <c r="I205" s="80"/>
      <c r="J205" s="80"/>
      <c r="K205" s="80"/>
      <c r="L205" s="80"/>
      <c r="M205" s="80"/>
      <c r="N205" s="80"/>
      <c r="O205" s="80"/>
      <c r="P205" s="80"/>
      <c r="Q205" s="80"/>
      <c r="R205" s="80"/>
      <c r="S205" s="80"/>
      <c r="T205" s="80"/>
      <c r="U205" s="80"/>
      <c r="V205" s="80"/>
      <c r="W205" s="80"/>
      <c r="X205" s="80"/>
      <c r="Y205" s="80"/>
      <c r="Z205" s="80"/>
    </row>
    <row r="206" spans="1:26" x14ac:dyDescent="0.25">
      <c r="A206" s="80" t="s">
        <v>1414</v>
      </c>
      <c r="B206" s="80" t="s">
        <v>1415</v>
      </c>
      <c r="C206" s="80" t="s">
        <v>1416</v>
      </c>
      <c r="D206" s="80" t="s">
        <v>1417</v>
      </c>
      <c r="E206" s="80" t="s">
        <v>79</v>
      </c>
      <c r="F206" s="83" t="s">
        <v>1418</v>
      </c>
      <c r="G206" s="80"/>
      <c r="H206" s="80"/>
      <c r="I206" s="80"/>
      <c r="J206" s="80"/>
      <c r="K206" s="80"/>
      <c r="L206" s="80"/>
      <c r="M206" s="80"/>
      <c r="N206" s="80"/>
      <c r="O206" s="80"/>
      <c r="P206" s="80"/>
      <c r="Q206" s="80"/>
      <c r="R206" s="80"/>
      <c r="S206" s="80"/>
      <c r="T206" s="80"/>
      <c r="U206" s="80"/>
      <c r="V206" s="80"/>
      <c r="W206" s="80"/>
      <c r="X206" s="80"/>
      <c r="Y206" s="80"/>
      <c r="Z206" s="80"/>
    </row>
    <row r="207" spans="1:26" x14ac:dyDescent="0.25">
      <c r="A207" s="80" t="s">
        <v>1419</v>
      </c>
      <c r="B207" s="80" t="s">
        <v>85</v>
      </c>
      <c r="C207" s="80" t="s">
        <v>1248</v>
      </c>
      <c r="D207" s="80" t="s">
        <v>1420</v>
      </c>
      <c r="E207" s="80" t="s">
        <v>79</v>
      </c>
      <c r="F207" s="83" t="s">
        <v>1421</v>
      </c>
      <c r="G207" s="80"/>
      <c r="H207" s="80"/>
      <c r="I207" s="80"/>
      <c r="J207" s="80"/>
      <c r="K207" s="80"/>
      <c r="L207" s="80"/>
      <c r="M207" s="80"/>
      <c r="N207" s="80"/>
      <c r="O207" s="80"/>
      <c r="P207" s="80"/>
      <c r="Q207" s="80"/>
      <c r="R207" s="80"/>
      <c r="S207" s="80"/>
      <c r="T207" s="80"/>
      <c r="U207" s="80"/>
      <c r="V207" s="80"/>
      <c r="W207" s="80"/>
      <c r="X207" s="80"/>
      <c r="Y207" s="80"/>
      <c r="Z207" s="80"/>
    </row>
    <row r="208" spans="1:26" x14ac:dyDescent="0.25">
      <c r="A208" s="80" t="s">
        <v>1422</v>
      </c>
      <c r="B208" s="80" t="s">
        <v>1287</v>
      </c>
      <c r="C208" s="80" t="s">
        <v>915</v>
      </c>
      <c r="D208" s="80" t="s">
        <v>1423</v>
      </c>
      <c r="E208" s="80" t="s">
        <v>79</v>
      </c>
      <c r="F208" s="83" t="s">
        <v>1424</v>
      </c>
      <c r="G208" s="80"/>
      <c r="H208" s="80"/>
      <c r="I208" s="80"/>
      <c r="J208" s="80"/>
      <c r="K208" s="80"/>
      <c r="L208" s="80"/>
      <c r="M208" s="80"/>
      <c r="N208" s="80"/>
      <c r="O208" s="80"/>
      <c r="P208" s="80"/>
      <c r="Q208" s="80"/>
      <c r="R208" s="80"/>
      <c r="S208" s="80"/>
      <c r="T208" s="80"/>
      <c r="U208" s="80"/>
      <c r="V208" s="80"/>
      <c r="W208" s="80"/>
      <c r="X208" s="80"/>
      <c r="Y208" s="80"/>
      <c r="Z208" s="80"/>
    </row>
    <row r="209" spans="1:26" x14ac:dyDescent="0.25">
      <c r="A209" s="80" t="s">
        <v>1425</v>
      </c>
      <c r="B209" s="80" t="s">
        <v>75</v>
      </c>
      <c r="C209" s="80" t="s">
        <v>915</v>
      </c>
      <c r="D209" s="80" t="s">
        <v>1426</v>
      </c>
      <c r="E209" s="80" t="s">
        <v>79</v>
      </c>
      <c r="F209" s="83" t="s">
        <v>1427</v>
      </c>
      <c r="G209" s="80"/>
      <c r="H209" s="80"/>
      <c r="I209" s="80"/>
      <c r="J209" s="80"/>
      <c r="K209" s="80"/>
      <c r="L209" s="80"/>
      <c r="M209" s="80"/>
      <c r="N209" s="80"/>
      <c r="O209" s="80"/>
      <c r="P209" s="80"/>
      <c r="Q209" s="80"/>
      <c r="R209" s="80"/>
      <c r="S209" s="80"/>
      <c r="T209" s="80"/>
      <c r="U209" s="80"/>
      <c r="V209" s="80"/>
      <c r="W209" s="80"/>
      <c r="X209" s="80"/>
      <c r="Y209" s="80"/>
      <c r="Z209" s="80"/>
    </row>
    <row r="210" spans="1:26" x14ac:dyDescent="0.25">
      <c r="A210" s="80" t="s">
        <v>1425</v>
      </c>
      <c r="B210" s="80" t="s">
        <v>75</v>
      </c>
      <c r="C210" s="80" t="s">
        <v>915</v>
      </c>
      <c r="D210" s="80" t="s">
        <v>1428</v>
      </c>
      <c r="E210" s="80" t="s">
        <v>79</v>
      </c>
      <c r="F210" s="83" t="s">
        <v>1429</v>
      </c>
      <c r="G210" s="80"/>
      <c r="H210" s="80"/>
      <c r="I210" s="80"/>
      <c r="J210" s="80"/>
      <c r="K210" s="80"/>
      <c r="L210" s="80"/>
      <c r="M210" s="80"/>
      <c r="N210" s="80"/>
      <c r="O210" s="80"/>
      <c r="P210" s="80"/>
      <c r="Q210" s="80"/>
      <c r="R210" s="80"/>
      <c r="S210" s="80"/>
      <c r="T210" s="80"/>
      <c r="U210" s="80"/>
      <c r="V210" s="80"/>
      <c r="W210" s="80"/>
      <c r="X210" s="80"/>
      <c r="Y210" s="80"/>
      <c r="Z210" s="80"/>
    </row>
    <row r="211" spans="1:26" x14ac:dyDescent="0.25">
      <c r="A211" s="80" t="s">
        <v>1425</v>
      </c>
      <c r="B211" s="80" t="s">
        <v>75</v>
      </c>
      <c r="C211" s="80" t="s">
        <v>915</v>
      </c>
      <c r="D211" s="80" t="s">
        <v>1430</v>
      </c>
      <c r="E211" s="80" t="s">
        <v>79</v>
      </c>
      <c r="F211" s="80" t="s">
        <v>1431</v>
      </c>
      <c r="G211" s="80"/>
      <c r="H211" s="80"/>
      <c r="I211" s="80"/>
      <c r="J211" s="80"/>
      <c r="K211" s="80"/>
      <c r="L211" s="80"/>
      <c r="M211" s="80"/>
      <c r="N211" s="80"/>
      <c r="O211" s="80"/>
      <c r="P211" s="80"/>
      <c r="Q211" s="80"/>
      <c r="R211" s="80"/>
      <c r="S211" s="80"/>
      <c r="T211" s="80"/>
      <c r="U211" s="80"/>
      <c r="V211" s="80"/>
      <c r="W211" s="80"/>
      <c r="X211" s="80"/>
      <c r="Y211" s="80"/>
      <c r="Z211" s="80"/>
    </row>
    <row r="212" spans="1:26" x14ac:dyDescent="0.25">
      <c r="A212" s="80" t="s">
        <v>1425</v>
      </c>
      <c r="B212" s="80" t="s">
        <v>75</v>
      </c>
      <c r="C212" s="80" t="s">
        <v>915</v>
      </c>
      <c r="D212" s="80" t="s">
        <v>1432</v>
      </c>
      <c r="E212" s="80" t="s">
        <v>79</v>
      </c>
      <c r="F212" s="83" t="s">
        <v>1433</v>
      </c>
      <c r="G212" s="80"/>
      <c r="H212" s="80"/>
      <c r="I212" s="80"/>
      <c r="J212" s="80"/>
      <c r="K212" s="80"/>
      <c r="L212" s="80"/>
      <c r="M212" s="80"/>
      <c r="N212" s="80"/>
      <c r="O212" s="80"/>
      <c r="P212" s="80"/>
      <c r="Q212" s="80"/>
      <c r="R212" s="80"/>
      <c r="S212" s="80"/>
      <c r="T212" s="80"/>
      <c r="U212" s="80"/>
      <c r="V212" s="80"/>
      <c r="W212" s="80"/>
      <c r="X212" s="80"/>
      <c r="Y212" s="80"/>
      <c r="Z212" s="80"/>
    </row>
    <row r="213" spans="1:26" x14ac:dyDescent="0.25">
      <c r="A213" s="80" t="s">
        <v>1425</v>
      </c>
      <c r="B213" s="80" t="s">
        <v>75</v>
      </c>
      <c r="C213" s="80" t="s">
        <v>915</v>
      </c>
      <c r="D213" s="80" t="s">
        <v>1434</v>
      </c>
      <c r="E213" s="80" t="s">
        <v>79</v>
      </c>
      <c r="F213" s="83" t="s">
        <v>1435</v>
      </c>
      <c r="G213" s="80"/>
      <c r="H213" s="80"/>
      <c r="I213" s="80"/>
      <c r="J213" s="80"/>
      <c r="K213" s="80"/>
      <c r="L213" s="80"/>
      <c r="M213" s="80"/>
      <c r="N213" s="80"/>
      <c r="O213" s="80"/>
      <c r="P213" s="80"/>
      <c r="Q213" s="80"/>
      <c r="R213" s="80"/>
      <c r="S213" s="80"/>
      <c r="T213" s="80"/>
      <c r="U213" s="80"/>
      <c r="V213" s="80"/>
      <c r="W213" s="80"/>
      <c r="X213" s="80"/>
      <c r="Y213" s="80"/>
      <c r="Z213" s="80"/>
    </row>
    <row r="214" spans="1:26" x14ac:dyDescent="0.25">
      <c r="A214" s="80" t="s">
        <v>1436</v>
      </c>
      <c r="B214" s="80" t="s">
        <v>1437</v>
      </c>
      <c r="C214" s="80" t="s">
        <v>915</v>
      </c>
      <c r="D214" s="80" t="s">
        <v>1438</v>
      </c>
      <c r="E214" s="80" t="s">
        <v>79</v>
      </c>
      <c r="F214" s="80" t="s">
        <v>1439</v>
      </c>
      <c r="G214" s="80"/>
      <c r="H214" s="80"/>
      <c r="I214" s="80"/>
      <c r="J214" s="80"/>
      <c r="K214" s="80"/>
      <c r="L214" s="80"/>
      <c r="M214" s="80"/>
      <c r="N214" s="80"/>
      <c r="O214" s="80"/>
      <c r="P214" s="80"/>
      <c r="Q214" s="80"/>
      <c r="R214" s="80"/>
      <c r="S214" s="80"/>
      <c r="T214" s="80"/>
      <c r="U214" s="80"/>
      <c r="V214" s="80"/>
      <c r="W214" s="80"/>
      <c r="X214" s="80"/>
      <c r="Y214" s="80"/>
      <c r="Z214" s="80"/>
    </row>
    <row r="215" spans="1:26" x14ac:dyDescent="0.25">
      <c r="A215" s="80" t="s">
        <v>1440</v>
      </c>
      <c r="B215" s="80" t="s">
        <v>1437</v>
      </c>
      <c r="C215" s="80" t="s">
        <v>915</v>
      </c>
      <c r="D215" s="80" t="s">
        <v>1441</v>
      </c>
      <c r="E215" s="80" t="s">
        <v>79</v>
      </c>
      <c r="F215" s="83" t="s">
        <v>1442</v>
      </c>
      <c r="G215" s="80"/>
      <c r="H215" s="80"/>
      <c r="I215" s="80"/>
      <c r="J215" s="80"/>
      <c r="K215" s="80"/>
      <c r="L215" s="80"/>
      <c r="M215" s="80"/>
      <c r="N215" s="80"/>
      <c r="O215" s="80"/>
      <c r="P215" s="80"/>
      <c r="Q215" s="80"/>
      <c r="R215" s="80"/>
      <c r="S215" s="80"/>
      <c r="T215" s="80"/>
      <c r="U215" s="80"/>
      <c r="V215" s="80"/>
      <c r="W215" s="80"/>
      <c r="X215" s="80"/>
      <c r="Y215" s="80"/>
      <c r="Z215" s="80"/>
    </row>
    <row r="216" spans="1:26" x14ac:dyDescent="0.25">
      <c r="A216" s="80" t="s">
        <v>1443</v>
      </c>
      <c r="B216" s="80" t="s">
        <v>85</v>
      </c>
      <c r="C216" s="80" t="s">
        <v>84</v>
      </c>
      <c r="D216" s="80" t="s">
        <v>1444</v>
      </c>
      <c r="E216" s="80" t="s">
        <v>79</v>
      </c>
      <c r="F216" s="83" t="s">
        <v>1445</v>
      </c>
      <c r="G216" s="80"/>
      <c r="H216" s="80"/>
      <c r="I216" s="80"/>
      <c r="J216" s="80"/>
      <c r="K216" s="80"/>
      <c r="L216" s="80"/>
      <c r="M216" s="80"/>
      <c r="N216" s="80"/>
      <c r="O216" s="80"/>
      <c r="P216" s="80"/>
      <c r="Q216" s="80"/>
      <c r="R216" s="80"/>
      <c r="S216" s="80"/>
      <c r="T216" s="80"/>
      <c r="U216" s="80"/>
      <c r="V216" s="80"/>
      <c r="W216" s="80"/>
      <c r="X216" s="80"/>
      <c r="Y216" s="80"/>
      <c r="Z216" s="80"/>
    </row>
    <row r="217" spans="1:26" x14ac:dyDescent="0.25">
      <c r="A217" s="80" t="s">
        <v>1446</v>
      </c>
      <c r="B217" s="80" t="s">
        <v>85</v>
      </c>
      <c r="C217" s="80" t="s">
        <v>84</v>
      </c>
      <c r="D217" s="80" t="s">
        <v>1447</v>
      </c>
      <c r="E217" s="80" t="s">
        <v>79</v>
      </c>
      <c r="F217" s="83" t="s">
        <v>1448</v>
      </c>
      <c r="G217" s="80"/>
      <c r="H217" s="80"/>
      <c r="I217" s="80"/>
      <c r="J217" s="80"/>
      <c r="K217" s="80"/>
      <c r="L217" s="80"/>
      <c r="M217" s="80"/>
      <c r="N217" s="80"/>
      <c r="O217" s="80"/>
      <c r="P217" s="80"/>
      <c r="Q217" s="80"/>
      <c r="R217" s="80"/>
      <c r="S217" s="80"/>
      <c r="T217" s="80"/>
      <c r="U217" s="80"/>
      <c r="V217" s="80"/>
      <c r="W217" s="80"/>
      <c r="X217" s="80"/>
      <c r="Y217" s="80"/>
      <c r="Z217" s="80"/>
    </row>
    <row r="218" spans="1:26" x14ac:dyDescent="0.25">
      <c r="A218" s="80" t="s">
        <v>1449</v>
      </c>
      <c r="B218" s="80" t="s">
        <v>85</v>
      </c>
      <c r="C218" s="80" t="s">
        <v>84</v>
      </c>
      <c r="D218" s="80" t="s">
        <v>1450</v>
      </c>
      <c r="E218" s="80" t="s">
        <v>79</v>
      </c>
      <c r="F218" s="83" t="s">
        <v>1451</v>
      </c>
      <c r="G218" s="80"/>
      <c r="H218" s="80"/>
      <c r="I218" s="80"/>
      <c r="J218" s="80"/>
      <c r="K218" s="80"/>
      <c r="L218" s="80"/>
      <c r="M218" s="80"/>
      <c r="N218" s="80"/>
      <c r="O218" s="80"/>
      <c r="P218" s="80"/>
      <c r="Q218" s="80"/>
      <c r="R218" s="80"/>
      <c r="S218" s="80"/>
      <c r="T218" s="80"/>
      <c r="U218" s="80"/>
      <c r="V218" s="80"/>
      <c r="W218" s="80"/>
      <c r="X218" s="80"/>
      <c r="Y218" s="80"/>
      <c r="Z218" s="80"/>
    </row>
    <row r="219" spans="1:26" ht="30" x14ac:dyDescent="0.25">
      <c r="A219" s="80" t="s">
        <v>1452</v>
      </c>
      <c r="B219" s="80" t="s">
        <v>85</v>
      </c>
      <c r="C219" s="80" t="s">
        <v>1453</v>
      </c>
      <c r="D219" s="80" t="s">
        <v>1454</v>
      </c>
      <c r="E219" s="80" t="s">
        <v>79</v>
      </c>
      <c r="F219" s="83" t="s">
        <v>1455</v>
      </c>
      <c r="G219" s="80"/>
      <c r="H219" s="80"/>
      <c r="I219" s="80"/>
      <c r="J219" s="80"/>
      <c r="K219" s="80"/>
      <c r="L219" s="80"/>
      <c r="M219" s="80"/>
      <c r="N219" s="80"/>
      <c r="O219" s="80"/>
      <c r="P219" s="80"/>
      <c r="Q219" s="80"/>
      <c r="R219" s="80"/>
      <c r="S219" s="80"/>
      <c r="T219" s="80"/>
      <c r="U219" s="80"/>
      <c r="V219" s="80"/>
      <c r="W219" s="80"/>
      <c r="X219" s="80"/>
      <c r="Y219" s="80"/>
      <c r="Z219" s="80"/>
    </row>
    <row r="220" spans="1:26" x14ac:dyDescent="0.25">
      <c r="A220" s="80" t="s">
        <v>1456</v>
      </c>
      <c r="B220" s="80" t="s">
        <v>85</v>
      </c>
      <c r="C220" s="80" t="s">
        <v>84</v>
      </c>
      <c r="D220" s="80" t="s">
        <v>1457</v>
      </c>
      <c r="E220" s="80" t="s">
        <v>79</v>
      </c>
      <c r="F220" s="83" t="s">
        <v>1458</v>
      </c>
      <c r="G220" s="80"/>
      <c r="H220" s="80"/>
      <c r="I220" s="80"/>
      <c r="J220" s="80"/>
      <c r="K220" s="80"/>
      <c r="L220" s="80"/>
      <c r="M220" s="80"/>
      <c r="N220" s="80"/>
      <c r="O220" s="80"/>
      <c r="P220" s="80"/>
      <c r="Q220" s="80"/>
      <c r="R220" s="80"/>
      <c r="S220" s="80"/>
      <c r="T220" s="80"/>
      <c r="U220" s="80"/>
      <c r="V220" s="80"/>
      <c r="W220" s="80"/>
      <c r="X220" s="80"/>
      <c r="Y220" s="80"/>
      <c r="Z220" s="80"/>
    </row>
    <row r="221" spans="1:26" ht="30" x14ac:dyDescent="0.25">
      <c r="A221" s="80" t="s">
        <v>1459</v>
      </c>
      <c r="B221" s="80" t="s">
        <v>85</v>
      </c>
      <c r="C221" s="80" t="s">
        <v>84</v>
      </c>
      <c r="D221" s="80" t="s">
        <v>1460</v>
      </c>
      <c r="E221" s="80" t="s">
        <v>79</v>
      </c>
      <c r="F221" s="83" t="s">
        <v>1461</v>
      </c>
      <c r="G221" s="80"/>
      <c r="H221" s="80"/>
      <c r="I221" s="80"/>
      <c r="J221" s="80"/>
      <c r="K221" s="80"/>
      <c r="L221" s="80"/>
      <c r="M221" s="80"/>
      <c r="N221" s="80"/>
      <c r="O221" s="80"/>
      <c r="P221" s="80"/>
      <c r="Q221" s="80"/>
      <c r="R221" s="80"/>
      <c r="S221" s="80"/>
      <c r="T221" s="80"/>
      <c r="U221" s="80"/>
      <c r="V221" s="80"/>
      <c r="W221" s="80"/>
      <c r="X221" s="80"/>
      <c r="Y221" s="80"/>
      <c r="Z221" s="80"/>
    </row>
    <row r="222" spans="1:26" ht="45" x14ac:dyDescent="0.25">
      <c r="A222" s="80" t="s">
        <v>1462</v>
      </c>
      <c r="B222" s="80" t="s">
        <v>85</v>
      </c>
      <c r="C222" s="80" t="s">
        <v>1403</v>
      </c>
      <c r="D222" s="80" t="s">
        <v>1463</v>
      </c>
      <c r="E222" s="80" t="s">
        <v>79</v>
      </c>
      <c r="F222" s="83" t="s">
        <v>1464</v>
      </c>
      <c r="G222" s="80"/>
      <c r="H222" s="80"/>
      <c r="I222" s="80"/>
      <c r="J222" s="80"/>
      <c r="K222" s="80"/>
      <c r="L222" s="80"/>
      <c r="M222" s="80"/>
      <c r="N222" s="80"/>
      <c r="O222" s="80"/>
      <c r="P222" s="80"/>
      <c r="Q222" s="80"/>
      <c r="R222" s="80"/>
      <c r="S222" s="80"/>
      <c r="T222" s="80"/>
      <c r="U222" s="80"/>
      <c r="V222" s="80"/>
      <c r="W222" s="80"/>
      <c r="X222" s="80"/>
      <c r="Y222" s="80"/>
      <c r="Z222" s="80"/>
    </row>
    <row r="223" spans="1:26" ht="60" x14ac:dyDescent="0.25">
      <c r="A223" s="80" t="s">
        <v>1465</v>
      </c>
      <c r="B223" s="80" t="s">
        <v>85</v>
      </c>
      <c r="C223" s="80" t="s">
        <v>84</v>
      </c>
      <c r="D223" s="80" t="s">
        <v>1466</v>
      </c>
      <c r="E223" s="80" t="s">
        <v>79</v>
      </c>
      <c r="F223" s="83" t="s">
        <v>1467</v>
      </c>
      <c r="G223" s="80"/>
      <c r="H223" s="80"/>
      <c r="I223" s="80"/>
      <c r="J223" s="80"/>
      <c r="K223" s="80"/>
      <c r="L223" s="80"/>
      <c r="M223" s="80"/>
      <c r="N223" s="80"/>
      <c r="O223" s="80"/>
      <c r="P223" s="80"/>
      <c r="Q223" s="80"/>
      <c r="R223" s="80"/>
      <c r="S223" s="80"/>
      <c r="T223" s="80"/>
      <c r="U223" s="80"/>
      <c r="V223" s="80"/>
      <c r="W223" s="80"/>
      <c r="X223" s="80"/>
      <c r="Y223" s="80"/>
      <c r="Z223" s="80"/>
    </row>
    <row r="224" spans="1:26" x14ac:dyDescent="0.25">
      <c r="A224" s="80" t="s">
        <v>291</v>
      </c>
      <c r="B224" s="80" t="s">
        <v>76</v>
      </c>
      <c r="C224" s="80"/>
      <c r="D224" s="80"/>
      <c r="E224" s="80"/>
      <c r="F224" s="80"/>
      <c r="G224" s="80"/>
      <c r="H224" s="80"/>
      <c r="I224" s="80"/>
      <c r="J224" s="80"/>
      <c r="K224" s="80"/>
      <c r="L224" s="80"/>
      <c r="M224" s="80"/>
      <c r="N224" s="80"/>
      <c r="O224" s="80"/>
      <c r="P224" s="80"/>
      <c r="Q224" s="80"/>
      <c r="R224" s="80"/>
      <c r="S224" s="80"/>
      <c r="T224" s="80"/>
      <c r="U224" s="80"/>
      <c r="V224" s="80"/>
      <c r="W224" s="80"/>
      <c r="X224" s="80"/>
      <c r="Y224" s="80"/>
      <c r="Z224" s="80"/>
    </row>
    <row r="225" spans="1:26" x14ac:dyDescent="0.25">
      <c r="A225" s="80" t="s">
        <v>707</v>
      </c>
      <c r="B225" s="80" t="s">
        <v>76</v>
      </c>
      <c r="C225" s="80"/>
      <c r="D225" s="80"/>
      <c r="E225" s="80"/>
      <c r="F225" s="80"/>
      <c r="G225" s="80"/>
      <c r="H225" s="80"/>
      <c r="I225" s="80"/>
      <c r="J225" s="80"/>
      <c r="K225" s="80"/>
      <c r="L225" s="80"/>
      <c r="M225" s="80"/>
      <c r="N225" s="80"/>
      <c r="O225" s="80"/>
      <c r="P225" s="80"/>
      <c r="Q225" s="80"/>
      <c r="R225" s="80"/>
      <c r="S225" s="80"/>
      <c r="T225" s="80"/>
      <c r="U225" s="80"/>
      <c r="V225" s="80"/>
      <c r="W225" s="80"/>
      <c r="X225" s="80"/>
      <c r="Y225" s="80"/>
      <c r="Z225" s="80"/>
    </row>
    <row r="226" spans="1:26" x14ac:dyDescent="0.25">
      <c r="A226" s="80" t="s">
        <v>714</v>
      </c>
      <c r="B226" s="80" t="s">
        <v>76</v>
      </c>
      <c r="C226" s="80"/>
      <c r="D226" s="80"/>
      <c r="E226" s="80"/>
      <c r="F226" s="80"/>
      <c r="G226" s="80"/>
      <c r="H226" s="80"/>
      <c r="I226" s="80"/>
      <c r="J226" s="80"/>
      <c r="K226" s="80"/>
      <c r="L226" s="80"/>
      <c r="M226" s="80"/>
      <c r="N226" s="80"/>
      <c r="O226" s="80"/>
      <c r="P226" s="80"/>
      <c r="Q226" s="80"/>
      <c r="R226" s="80"/>
      <c r="S226" s="80"/>
      <c r="T226" s="80"/>
      <c r="U226" s="80"/>
      <c r="V226" s="80"/>
      <c r="W226" s="80"/>
      <c r="X226" s="80"/>
      <c r="Y226" s="80"/>
      <c r="Z226" s="80"/>
    </row>
    <row r="227" spans="1:26" x14ac:dyDescent="0.25">
      <c r="A227" s="80" t="s">
        <v>292</v>
      </c>
      <c r="B227" s="80" t="s">
        <v>76</v>
      </c>
      <c r="C227" s="80"/>
      <c r="D227" s="80"/>
      <c r="E227" s="80"/>
      <c r="F227" s="80"/>
      <c r="G227" s="80"/>
      <c r="H227" s="80"/>
      <c r="I227" s="80"/>
      <c r="J227" s="80"/>
      <c r="K227" s="80"/>
      <c r="L227" s="80"/>
      <c r="M227" s="80"/>
      <c r="N227" s="80"/>
      <c r="O227" s="80"/>
      <c r="P227" s="80"/>
      <c r="Q227" s="80"/>
      <c r="R227" s="80"/>
      <c r="S227" s="80"/>
      <c r="T227" s="80"/>
      <c r="U227" s="80"/>
      <c r="V227" s="80"/>
      <c r="W227" s="80"/>
      <c r="X227" s="80"/>
      <c r="Y227" s="80"/>
      <c r="Z227" s="80"/>
    </row>
    <row r="228" spans="1:26" x14ac:dyDescent="0.25">
      <c r="A228" s="80" t="s">
        <v>293</v>
      </c>
      <c r="B228" s="80" t="s">
        <v>76</v>
      </c>
      <c r="C228" s="80"/>
      <c r="D228" s="80"/>
      <c r="E228" s="80"/>
      <c r="F228" s="80"/>
      <c r="G228" s="80"/>
      <c r="H228" s="80"/>
      <c r="I228" s="80"/>
      <c r="J228" s="80"/>
      <c r="K228" s="80"/>
      <c r="L228" s="80"/>
      <c r="M228" s="80"/>
      <c r="N228" s="80"/>
      <c r="O228" s="80"/>
      <c r="P228" s="80"/>
      <c r="Q228" s="80"/>
      <c r="R228" s="80"/>
      <c r="S228" s="80"/>
      <c r="T228" s="80"/>
      <c r="U228" s="80"/>
      <c r="V228" s="80"/>
      <c r="W228" s="80"/>
      <c r="X228" s="80"/>
      <c r="Y228" s="80"/>
      <c r="Z228" s="80"/>
    </row>
    <row r="229" spans="1:26" x14ac:dyDescent="0.25">
      <c r="A229" s="80" t="s">
        <v>402</v>
      </c>
      <c r="B229" s="80" t="s">
        <v>76</v>
      </c>
      <c r="C229" s="80"/>
      <c r="D229" s="80"/>
      <c r="E229" s="80"/>
      <c r="F229" s="80"/>
      <c r="G229" s="80"/>
      <c r="H229" s="80"/>
      <c r="I229" s="80"/>
      <c r="J229" s="80"/>
      <c r="K229" s="80"/>
      <c r="L229" s="80"/>
      <c r="M229" s="80"/>
      <c r="N229" s="80"/>
      <c r="O229" s="80"/>
      <c r="P229" s="80"/>
      <c r="Q229" s="80"/>
      <c r="R229" s="80"/>
      <c r="S229" s="80"/>
      <c r="T229" s="80"/>
      <c r="U229" s="80"/>
      <c r="V229" s="80"/>
      <c r="W229" s="80"/>
      <c r="X229" s="80"/>
      <c r="Y229" s="80"/>
      <c r="Z229" s="80"/>
    </row>
    <row r="230" spans="1:26" x14ac:dyDescent="0.25">
      <c r="A230" s="80" t="s">
        <v>403</v>
      </c>
      <c r="B230" s="80" t="s">
        <v>76</v>
      </c>
      <c r="C230" s="80"/>
      <c r="D230" s="80"/>
      <c r="E230" s="80"/>
      <c r="F230" s="80"/>
      <c r="G230" s="80"/>
      <c r="H230" s="80"/>
      <c r="I230" s="80"/>
      <c r="J230" s="80"/>
      <c r="K230" s="80"/>
      <c r="L230" s="80"/>
      <c r="M230" s="80"/>
      <c r="N230" s="80"/>
      <c r="O230" s="80"/>
      <c r="P230" s="80"/>
      <c r="Q230" s="80"/>
      <c r="R230" s="80"/>
      <c r="S230" s="80"/>
      <c r="T230" s="80"/>
      <c r="U230" s="80"/>
      <c r="V230" s="80"/>
      <c r="W230" s="80"/>
      <c r="X230" s="80"/>
      <c r="Y230" s="80"/>
      <c r="Z230" s="80"/>
    </row>
    <row r="231" spans="1:26" x14ac:dyDescent="0.25">
      <c r="A231" s="80" t="s">
        <v>404</v>
      </c>
      <c r="B231" s="80" t="s">
        <v>76</v>
      </c>
      <c r="C231" s="80"/>
      <c r="D231" s="80"/>
      <c r="E231" s="80"/>
      <c r="F231" s="80"/>
      <c r="G231" s="80"/>
      <c r="H231" s="80"/>
      <c r="I231" s="80"/>
      <c r="J231" s="80"/>
      <c r="K231" s="80"/>
      <c r="L231" s="80"/>
      <c r="M231" s="80"/>
      <c r="N231" s="80"/>
      <c r="O231" s="80"/>
      <c r="P231" s="80"/>
      <c r="Q231" s="80"/>
      <c r="R231" s="80"/>
      <c r="S231" s="80"/>
      <c r="T231" s="80"/>
      <c r="U231" s="80"/>
      <c r="V231" s="80"/>
      <c r="W231" s="80"/>
      <c r="X231" s="80"/>
      <c r="Y231" s="80"/>
      <c r="Z231" s="80"/>
    </row>
    <row r="232" spans="1:26" x14ac:dyDescent="0.25">
      <c r="A232" s="80" t="s">
        <v>405</v>
      </c>
      <c r="B232" s="80" t="s">
        <v>76</v>
      </c>
      <c r="C232" s="80"/>
      <c r="D232" s="80"/>
      <c r="E232" s="80"/>
      <c r="F232" s="80"/>
      <c r="G232" s="80"/>
      <c r="H232" s="80"/>
      <c r="I232" s="80"/>
      <c r="J232" s="80"/>
      <c r="K232" s="80"/>
      <c r="L232" s="80"/>
      <c r="M232" s="80"/>
      <c r="N232" s="80"/>
      <c r="O232" s="80"/>
      <c r="P232" s="80"/>
      <c r="Q232" s="80"/>
      <c r="R232" s="80"/>
      <c r="S232" s="80"/>
      <c r="T232" s="80"/>
      <c r="U232" s="80"/>
      <c r="V232" s="80"/>
      <c r="W232" s="80"/>
      <c r="X232" s="80"/>
      <c r="Y232" s="80"/>
      <c r="Z232" s="80"/>
    </row>
    <row r="233" spans="1:26" x14ac:dyDescent="0.25">
      <c r="A233" s="80" t="s">
        <v>406</v>
      </c>
      <c r="B233" s="80" t="s">
        <v>76</v>
      </c>
      <c r="C233" s="80"/>
      <c r="D233" s="80"/>
      <c r="E233" s="80"/>
      <c r="F233" s="83"/>
      <c r="G233" s="80"/>
      <c r="H233" s="80"/>
      <c r="I233" s="80"/>
      <c r="J233" s="80"/>
      <c r="K233" s="80"/>
      <c r="L233" s="80"/>
      <c r="M233" s="80"/>
      <c r="N233" s="80"/>
      <c r="O233" s="80"/>
      <c r="P233" s="80"/>
      <c r="Q233" s="80"/>
      <c r="R233" s="80"/>
      <c r="S233" s="80"/>
      <c r="T233" s="80"/>
      <c r="U233" s="80"/>
      <c r="V233" s="80"/>
      <c r="W233" s="80"/>
      <c r="X233" s="80"/>
      <c r="Y233" s="80"/>
      <c r="Z233" s="80"/>
    </row>
    <row r="234" spans="1:26" x14ac:dyDescent="0.25">
      <c r="A234" s="80" t="s">
        <v>708</v>
      </c>
      <c r="B234" s="80" t="s">
        <v>76</v>
      </c>
      <c r="C234" s="80"/>
      <c r="D234" s="80"/>
      <c r="E234" s="80"/>
      <c r="F234" s="83"/>
      <c r="G234" s="80"/>
      <c r="H234" s="80"/>
      <c r="I234" s="80"/>
      <c r="J234" s="80"/>
      <c r="K234" s="80"/>
      <c r="L234" s="80"/>
      <c r="M234" s="80"/>
      <c r="N234" s="80"/>
      <c r="O234" s="80"/>
      <c r="P234" s="80"/>
      <c r="Q234" s="80"/>
      <c r="R234" s="80"/>
      <c r="S234" s="80"/>
      <c r="T234" s="80"/>
      <c r="U234" s="80"/>
      <c r="V234" s="80"/>
      <c r="W234" s="80"/>
      <c r="X234" s="80"/>
      <c r="Y234" s="80"/>
      <c r="Z234" s="80"/>
    </row>
    <row r="235" spans="1:26" x14ac:dyDescent="0.25">
      <c r="A235" s="80" t="s">
        <v>44</v>
      </c>
      <c r="B235" s="80" t="s">
        <v>74</v>
      </c>
      <c r="C235" s="80"/>
      <c r="D235" s="80"/>
      <c r="E235" s="80"/>
      <c r="F235" s="80"/>
      <c r="G235" s="80"/>
      <c r="H235" s="80"/>
      <c r="I235" s="80"/>
      <c r="J235" s="80"/>
      <c r="K235" s="80"/>
      <c r="L235" s="80"/>
      <c r="M235" s="80"/>
      <c r="N235" s="80"/>
      <c r="O235" s="80"/>
      <c r="P235" s="80"/>
      <c r="Q235" s="80"/>
      <c r="R235" s="80"/>
      <c r="S235" s="80"/>
      <c r="T235" s="80"/>
      <c r="U235" s="80"/>
      <c r="V235" s="80"/>
      <c r="W235" s="80"/>
      <c r="X235" s="80"/>
      <c r="Y235" s="80"/>
      <c r="Z235" s="80"/>
    </row>
    <row r="236" spans="1:26" x14ac:dyDescent="0.25">
      <c r="A236" s="80" t="s">
        <v>40</v>
      </c>
      <c r="B236" s="80" t="s">
        <v>74</v>
      </c>
      <c r="C236" s="80"/>
      <c r="D236" s="80"/>
      <c r="E236" s="80"/>
      <c r="F236" s="83"/>
      <c r="G236" s="80"/>
      <c r="H236" s="80"/>
      <c r="I236" s="80"/>
      <c r="J236" s="80"/>
      <c r="K236" s="80"/>
      <c r="L236" s="80"/>
      <c r="M236" s="80"/>
      <c r="N236" s="80"/>
      <c r="O236" s="80"/>
      <c r="P236" s="80"/>
      <c r="Q236" s="80"/>
      <c r="R236" s="80"/>
      <c r="S236" s="80"/>
      <c r="T236" s="80"/>
      <c r="U236" s="80"/>
      <c r="V236" s="80"/>
      <c r="W236" s="80"/>
      <c r="X236" s="80"/>
      <c r="Y236" s="80"/>
      <c r="Z236" s="80"/>
    </row>
    <row r="237" spans="1:26" x14ac:dyDescent="0.25">
      <c r="A237" s="80" t="s">
        <v>129</v>
      </c>
      <c r="B237" s="80" t="s">
        <v>76</v>
      </c>
      <c r="C237" s="80"/>
      <c r="D237" s="80"/>
      <c r="E237" s="80"/>
      <c r="F237" s="83"/>
      <c r="G237" s="80"/>
      <c r="H237" s="80"/>
      <c r="I237" s="80"/>
      <c r="J237" s="80"/>
      <c r="K237" s="80"/>
      <c r="L237" s="80"/>
      <c r="M237" s="80"/>
      <c r="N237" s="80"/>
      <c r="O237" s="80"/>
      <c r="P237" s="80"/>
      <c r="Q237" s="80"/>
      <c r="R237" s="80"/>
      <c r="S237" s="80"/>
      <c r="T237" s="80"/>
      <c r="U237" s="80"/>
      <c r="V237" s="80"/>
      <c r="W237" s="80"/>
      <c r="X237" s="80"/>
      <c r="Y237" s="80"/>
      <c r="Z237" s="80"/>
    </row>
    <row r="238" spans="1:26" x14ac:dyDescent="0.25">
      <c r="A238" s="80" t="s">
        <v>130</v>
      </c>
      <c r="B238" s="80" t="s">
        <v>76</v>
      </c>
      <c r="C238" s="80"/>
      <c r="D238" s="80"/>
      <c r="E238" s="80"/>
      <c r="F238" s="83"/>
      <c r="G238" s="80"/>
      <c r="H238" s="80"/>
      <c r="I238" s="80"/>
      <c r="J238" s="80"/>
      <c r="K238" s="80"/>
      <c r="L238" s="80"/>
      <c r="M238" s="80"/>
      <c r="N238" s="80"/>
      <c r="O238" s="80"/>
      <c r="P238" s="80"/>
      <c r="Q238" s="80"/>
      <c r="R238" s="80"/>
      <c r="S238" s="80"/>
      <c r="T238" s="80"/>
      <c r="U238" s="80"/>
      <c r="V238" s="80"/>
      <c r="W238" s="80"/>
      <c r="X238" s="80"/>
      <c r="Y238" s="80"/>
      <c r="Z238" s="80"/>
    </row>
    <row r="239" spans="1:26" x14ac:dyDescent="0.25">
      <c r="A239" s="80" t="s">
        <v>131</v>
      </c>
      <c r="B239" s="80" t="s">
        <v>76</v>
      </c>
      <c r="C239" s="80"/>
      <c r="D239" s="80"/>
      <c r="E239" s="80"/>
      <c r="F239" s="80"/>
      <c r="G239" s="80"/>
      <c r="H239" s="80"/>
      <c r="I239" s="80"/>
      <c r="J239" s="80"/>
      <c r="K239" s="80"/>
      <c r="L239" s="80"/>
      <c r="M239" s="80"/>
      <c r="N239" s="80"/>
      <c r="O239" s="80"/>
      <c r="P239" s="80"/>
      <c r="Q239" s="80"/>
      <c r="R239" s="80"/>
      <c r="S239" s="80"/>
      <c r="T239" s="80"/>
      <c r="U239" s="80"/>
      <c r="V239" s="80"/>
      <c r="W239" s="80"/>
      <c r="X239" s="80"/>
      <c r="Y239" s="80"/>
      <c r="Z239" s="80"/>
    </row>
    <row r="240" spans="1:26" x14ac:dyDescent="0.25">
      <c r="A240" s="80" t="s">
        <v>1468</v>
      </c>
      <c r="B240" s="80" t="s">
        <v>1155</v>
      </c>
      <c r="C240" s="80" t="s">
        <v>1403</v>
      </c>
      <c r="D240" s="80" t="s">
        <v>1469</v>
      </c>
      <c r="E240" s="80" t="s">
        <v>79</v>
      </c>
      <c r="F240" s="80" t="s">
        <v>1470</v>
      </c>
      <c r="G240" s="80"/>
      <c r="H240" s="80"/>
      <c r="I240" s="80"/>
      <c r="J240" s="80"/>
      <c r="K240" s="80"/>
      <c r="L240" s="80"/>
      <c r="M240" s="80"/>
      <c r="N240" s="80"/>
      <c r="O240" s="80"/>
      <c r="P240" s="80"/>
      <c r="Q240" s="80"/>
      <c r="R240" s="80"/>
      <c r="S240" s="80"/>
      <c r="T240" s="80"/>
      <c r="U240" s="80"/>
      <c r="V240" s="80"/>
      <c r="W240" s="80"/>
      <c r="X240" s="80"/>
      <c r="Y240" s="80"/>
      <c r="Z240" s="80"/>
    </row>
    <row r="241" spans="1:26" x14ac:dyDescent="0.25">
      <c r="A241" s="80" t="s">
        <v>1468</v>
      </c>
      <c r="B241" s="80" t="s">
        <v>1155</v>
      </c>
      <c r="C241" s="80" t="s">
        <v>1403</v>
      </c>
      <c r="D241" s="80" t="s">
        <v>1471</v>
      </c>
      <c r="E241" s="80" t="s">
        <v>79</v>
      </c>
      <c r="F241" s="83" t="s">
        <v>1472</v>
      </c>
      <c r="G241" s="80"/>
      <c r="H241" s="80"/>
      <c r="I241" s="80"/>
      <c r="J241" s="80"/>
      <c r="K241" s="80"/>
      <c r="L241" s="80"/>
      <c r="M241" s="80"/>
      <c r="N241" s="80"/>
      <c r="O241" s="80"/>
      <c r="P241" s="80"/>
      <c r="Q241" s="80"/>
      <c r="R241" s="80"/>
      <c r="S241" s="80"/>
      <c r="T241" s="80"/>
      <c r="U241" s="80"/>
      <c r="V241" s="80"/>
      <c r="W241" s="80"/>
      <c r="X241" s="80"/>
      <c r="Y241" s="80"/>
      <c r="Z241" s="80"/>
    </row>
    <row r="242" spans="1:26" x14ac:dyDescent="0.25">
      <c r="A242" s="80" t="s">
        <v>1468</v>
      </c>
      <c r="B242" s="80" t="s">
        <v>1155</v>
      </c>
      <c r="C242" s="80" t="s">
        <v>1403</v>
      </c>
      <c r="D242" s="80" t="s">
        <v>1473</v>
      </c>
      <c r="E242" s="80" t="s">
        <v>79</v>
      </c>
      <c r="F242" s="80" t="s">
        <v>1474</v>
      </c>
      <c r="G242" s="80"/>
      <c r="H242" s="80"/>
      <c r="I242" s="80"/>
      <c r="J242" s="80"/>
      <c r="K242" s="80"/>
      <c r="L242" s="80"/>
      <c r="M242" s="80"/>
      <c r="N242" s="80"/>
      <c r="O242" s="80"/>
      <c r="P242" s="80"/>
      <c r="Q242" s="80"/>
      <c r="R242" s="80"/>
      <c r="S242" s="80"/>
      <c r="T242" s="80"/>
      <c r="U242" s="80"/>
      <c r="V242" s="80"/>
      <c r="W242" s="80"/>
      <c r="X242" s="80"/>
      <c r="Y242" s="80"/>
      <c r="Z242" s="80"/>
    </row>
    <row r="243" spans="1:26" x14ac:dyDescent="0.25">
      <c r="A243" s="80" t="s">
        <v>1475</v>
      </c>
      <c r="B243" s="80" t="s">
        <v>1415</v>
      </c>
      <c r="C243" s="80" t="s">
        <v>1476</v>
      </c>
      <c r="D243" s="80" t="s">
        <v>1477</v>
      </c>
      <c r="E243" s="80" t="s">
        <v>79</v>
      </c>
      <c r="F243" s="80" t="s">
        <v>1478</v>
      </c>
      <c r="G243" s="80"/>
      <c r="H243" s="80"/>
      <c r="I243" s="80"/>
      <c r="J243" s="80"/>
      <c r="K243" s="80"/>
      <c r="L243" s="80"/>
      <c r="M243" s="80"/>
      <c r="N243" s="80"/>
      <c r="O243" s="80"/>
      <c r="P243" s="80"/>
      <c r="Q243" s="80"/>
      <c r="R243" s="80"/>
      <c r="S243" s="80"/>
      <c r="T243" s="80"/>
      <c r="U243" s="80"/>
      <c r="V243" s="80"/>
      <c r="W243" s="80"/>
      <c r="X243" s="80"/>
      <c r="Y243" s="80"/>
      <c r="Z243" s="80"/>
    </row>
    <row r="244" spans="1:26" ht="30" x14ac:dyDescent="0.25">
      <c r="A244" s="80" t="s">
        <v>1475</v>
      </c>
      <c r="B244" s="80" t="s">
        <v>1415</v>
      </c>
      <c r="C244" s="80" t="s">
        <v>1476</v>
      </c>
      <c r="D244" s="80" t="s">
        <v>1479</v>
      </c>
      <c r="E244" s="80" t="s">
        <v>79</v>
      </c>
      <c r="F244" s="83" t="s">
        <v>1480</v>
      </c>
      <c r="G244" s="80"/>
      <c r="H244" s="80"/>
      <c r="I244" s="80"/>
      <c r="J244" s="80"/>
      <c r="K244" s="80"/>
      <c r="L244" s="80"/>
      <c r="M244" s="80"/>
      <c r="N244" s="80"/>
      <c r="O244" s="80"/>
      <c r="P244" s="80"/>
      <c r="Q244" s="80"/>
      <c r="R244" s="80"/>
      <c r="S244" s="80"/>
      <c r="T244" s="80"/>
      <c r="U244" s="80"/>
      <c r="V244" s="80"/>
      <c r="W244" s="80"/>
      <c r="X244" s="80"/>
      <c r="Y244" s="80"/>
      <c r="Z244" s="80"/>
    </row>
    <row r="245" spans="1:26" ht="30" x14ac:dyDescent="0.25">
      <c r="A245" s="80" t="s">
        <v>1475</v>
      </c>
      <c r="B245" s="80" t="s">
        <v>1415</v>
      </c>
      <c r="C245" s="80" t="s">
        <v>1476</v>
      </c>
      <c r="D245" s="80" t="s">
        <v>1481</v>
      </c>
      <c r="E245" s="80" t="s">
        <v>79</v>
      </c>
      <c r="F245" s="83" t="s">
        <v>1482</v>
      </c>
      <c r="G245" s="80"/>
      <c r="H245" s="80"/>
      <c r="I245" s="80"/>
      <c r="J245" s="80"/>
      <c r="K245" s="80"/>
      <c r="L245" s="80"/>
      <c r="M245" s="80"/>
      <c r="N245" s="80"/>
      <c r="O245" s="80"/>
      <c r="P245" s="80"/>
      <c r="Q245" s="80"/>
      <c r="R245" s="80"/>
      <c r="S245" s="80"/>
      <c r="T245" s="80"/>
      <c r="U245" s="80"/>
      <c r="V245" s="80"/>
      <c r="W245" s="80"/>
      <c r="X245" s="80"/>
      <c r="Y245" s="80"/>
      <c r="Z245" s="80"/>
    </row>
    <row r="246" spans="1:26" x14ac:dyDescent="0.25">
      <c r="A246" s="80" t="s">
        <v>536</v>
      </c>
      <c r="B246" s="80" t="s">
        <v>941</v>
      </c>
      <c r="C246" s="80"/>
      <c r="D246" s="80"/>
      <c r="E246" s="80"/>
      <c r="F246" s="83"/>
      <c r="G246" s="80"/>
      <c r="H246" s="80"/>
      <c r="I246" s="80"/>
      <c r="J246" s="80"/>
      <c r="K246" s="80"/>
      <c r="L246" s="80"/>
      <c r="M246" s="80"/>
      <c r="N246" s="80"/>
      <c r="O246" s="80"/>
      <c r="P246" s="80"/>
      <c r="Q246" s="80"/>
      <c r="R246" s="80"/>
      <c r="S246" s="80"/>
      <c r="T246" s="80"/>
      <c r="U246" s="80"/>
      <c r="V246" s="80"/>
      <c r="W246" s="80"/>
      <c r="X246" s="80"/>
      <c r="Y246" s="80"/>
      <c r="Z246" s="80"/>
    </row>
    <row r="247" spans="1:26" x14ac:dyDescent="0.25">
      <c r="A247" s="80" t="s">
        <v>304</v>
      </c>
      <c r="B247" s="80" t="s">
        <v>305</v>
      </c>
      <c r="C247" s="80"/>
      <c r="D247" s="80"/>
      <c r="E247" s="80"/>
      <c r="F247" s="83"/>
      <c r="G247" s="80"/>
      <c r="H247" s="80"/>
      <c r="I247" s="80"/>
      <c r="J247" s="80"/>
      <c r="K247" s="80"/>
      <c r="L247" s="80"/>
      <c r="M247" s="80"/>
      <c r="N247" s="80"/>
      <c r="O247" s="80"/>
      <c r="P247" s="80"/>
      <c r="Q247" s="80"/>
      <c r="R247" s="80"/>
      <c r="S247" s="80"/>
      <c r="T247" s="80"/>
      <c r="U247" s="80"/>
      <c r="V247" s="80"/>
      <c r="W247" s="80"/>
      <c r="X247" s="80"/>
      <c r="Y247" s="80"/>
      <c r="Z247" s="80"/>
    </row>
    <row r="248" spans="1:26" x14ac:dyDescent="0.25">
      <c r="A248" s="80" t="s">
        <v>55</v>
      </c>
      <c r="B248" s="80" t="s">
        <v>922</v>
      </c>
      <c r="C248" s="80"/>
      <c r="D248" s="80"/>
      <c r="E248" s="80"/>
      <c r="F248" s="80"/>
      <c r="G248" s="80"/>
      <c r="H248" s="80"/>
      <c r="I248" s="80"/>
      <c r="J248" s="80"/>
      <c r="K248" s="80"/>
      <c r="L248" s="80"/>
      <c r="M248" s="80"/>
      <c r="N248" s="80"/>
      <c r="O248" s="80"/>
      <c r="P248" s="80"/>
      <c r="Q248" s="80"/>
      <c r="R248" s="80"/>
      <c r="S248" s="80"/>
      <c r="T248" s="80"/>
      <c r="U248" s="80"/>
      <c r="V248" s="80"/>
      <c r="W248" s="80"/>
      <c r="X248" s="80"/>
      <c r="Y248" s="80"/>
      <c r="Z248" s="80"/>
    </row>
    <row r="249" spans="1:26" ht="30" x14ac:dyDescent="0.25">
      <c r="A249" s="80" t="s">
        <v>1094</v>
      </c>
      <c r="B249" s="80" t="s">
        <v>187</v>
      </c>
      <c r="C249" s="80" t="s">
        <v>937</v>
      </c>
      <c r="D249" s="80" t="s">
        <v>1092</v>
      </c>
      <c r="E249" s="80" t="s">
        <v>79</v>
      </c>
      <c r="F249" s="83" t="s">
        <v>1093</v>
      </c>
      <c r="G249" s="80"/>
      <c r="H249" s="80"/>
      <c r="I249" s="80"/>
      <c r="J249" s="80"/>
      <c r="K249" s="80"/>
      <c r="L249" s="80"/>
      <c r="M249" s="80"/>
      <c r="N249" s="80"/>
      <c r="O249" s="80"/>
      <c r="P249" s="80"/>
      <c r="Q249" s="80"/>
      <c r="R249" s="80"/>
      <c r="S249" s="80"/>
      <c r="T249" s="80"/>
      <c r="U249" s="80"/>
      <c r="V249" s="80"/>
      <c r="W249" s="80"/>
      <c r="X249" s="80"/>
      <c r="Y249" s="80"/>
      <c r="Z249" s="80"/>
    </row>
    <row r="250" spans="1:26" x14ac:dyDescent="0.25">
      <c r="A250" s="80" t="s">
        <v>1635</v>
      </c>
      <c r="B250" s="80" t="s">
        <v>1242</v>
      </c>
      <c r="C250" s="80" t="s">
        <v>937</v>
      </c>
      <c r="D250" s="80" t="s">
        <v>1628</v>
      </c>
      <c r="E250" s="80" t="s">
        <v>79</v>
      </c>
      <c r="F250" s="80" t="s">
        <v>1629</v>
      </c>
      <c r="G250" s="80"/>
      <c r="H250" s="80"/>
      <c r="I250" s="80"/>
      <c r="J250" s="80"/>
      <c r="K250" s="80"/>
      <c r="L250" s="80"/>
      <c r="M250" s="80"/>
      <c r="N250" s="80"/>
      <c r="O250" s="80"/>
      <c r="P250" s="80"/>
      <c r="Q250" s="80"/>
      <c r="R250" s="80"/>
      <c r="S250" s="80"/>
      <c r="T250" s="80"/>
      <c r="U250" s="80"/>
      <c r="V250" s="80"/>
      <c r="W250" s="80"/>
      <c r="X250" s="80"/>
      <c r="Y250" s="80"/>
      <c r="Z250" s="80"/>
    </row>
    <row r="251" spans="1:26" ht="60" x14ac:dyDescent="0.25">
      <c r="A251" s="80" t="s">
        <v>1483</v>
      </c>
      <c r="B251" s="80" t="s">
        <v>1242</v>
      </c>
      <c r="C251" s="80" t="s">
        <v>1476</v>
      </c>
      <c r="D251" s="80" t="s">
        <v>1484</v>
      </c>
      <c r="E251" s="80" t="s">
        <v>79</v>
      </c>
      <c r="F251" s="83" t="s">
        <v>1485</v>
      </c>
      <c r="G251" s="80"/>
      <c r="H251" s="80"/>
      <c r="I251" s="80"/>
      <c r="J251" s="80"/>
      <c r="K251" s="80"/>
      <c r="L251" s="80"/>
      <c r="M251" s="80"/>
      <c r="N251" s="80"/>
      <c r="O251" s="80"/>
      <c r="P251" s="80"/>
      <c r="Q251" s="80"/>
      <c r="R251" s="80"/>
      <c r="S251" s="80"/>
      <c r="T251" s="80"/>
      <c r="U251" s="80"/>
      <c r="V251" s="80"/>
      <c r="W251" s="80"/>
      <c r="X251" s="80"/>
      <c r="Y251" s="80"/>
      <c r="Z251" s="80"/>
    </row>
    <row r="252" spans="1:26" x14ac:dyDescent="0.25">
      <c r="A252" s="80" t="s">
        <v>1241</v>
      </c>
      <c r="B252" s="80" t="s">
        <v>187</v>
      </c>
      <c r="C252" s="80" t="s">
        <v>937</v>
      </c>
      <c r="D252" s="80" t="s">
        <v>1092</v>
      </c>
      <c r="E252" s="80" t="s">
        <v>79</v>
      </c>
      <c r="F252" s="80" t="s">
        <v>1242</v>
      </c>
      <c r="G252" s="80"/>
      <c r="H252" s="80"/>
      <c r="I252" s="80"/>
      <c r="J252" s="80"/>
      <c r="K252" s="80"/>
      <c r="L252" s="80"/>
      <c r="M252" s="80"/>
      <c r="N252" s="80"/>
      <c r="O252" s="80"/>
      <c r="P252" s="80"/>
      <c r="Q252" s="80"/>
      <c r="R252" s="80"/>
      <c r="S252" s="80"/>
      <c r="T252" s="80"/>
      <c r="U252" s="80"/>
      <c r="V252" s="80"/>
      <c r="W252" s="80"/>
      <c r="X252" s="80"/>
      <c r="Y252" s="80"/>
      <c r="Z252" s="80"/>
    </row>
    <row r="253" spans="1:26" x14ac:dyDescent="0.25">
      <c r="A253" s="80" t="s">
        <v>1241</v>
      </c>
      <c r="B253" s="80" t="s">
        <v>1242</v>
      </c>
      <c r="C253" s="80" t="s">
        <v>937</v>
      </c>
      <c r="D253" s="80" t="s">
        <v>1486</v>
      </c>
      <c r="E253" s="80" t="s">
        <v>79</v>
      </c>
      <c r="F253" s="80" t="s">
        <v>1487</v>
      </c>
      <c r="G253" s="80"/>
      <c r="H253" s="80"/>
      <c r="I253" s="80"/>
      <c r="J253" s="80"/>
      <c r="K253" s="80"/>
      <c r="L253" s="80"/>
      <c r="M253" s="80"/>
      <c r="N253" s="80"/>
      <c r="O253" s="80"/>
      <c r="P253" s="80"/>
      <c r="Q253" s="80"/>
      <c r="R253" s="80"/>
      <c r="S253" s="80"/>
      <c r="T253" s="80"/>
      <c r="U253" s="80"/>
      <c r="V253" s="80"/>
      <c r="W253" s="80"/>
      <c r="X253" s="80"/>
      <c r="Y253" s="80"/>
      <c r="Z253" s="80"/>
    </row>
    <row r="254" spans="1:26" x14ac:dyDescent="0.25">
      <c r="A254" s="80" t="s">
        <v>533</v>
      </c>
      <c r="B254" s="80" t="s">
        <v>75</v>
      </c>
      <c r="C254" s="80"/>
      <c r="D254" s="80"/>
      <c r="E254" s="80"/>
      <c r="F254" s="80"/>
      <c r="G254" s="80"/>
      <c r="H254" s="80"/>
      <c r="I254" s="80"/>
      <c r="J254" s="80"/>
      <c r="K254" s="80"/>
      <c r="L254" s="80"/>
      <c r="M254" s="80"/>
      <c r="N254" s="80"/>
      <c r="O254" s="80"/>
      <c r="P254" s="80"/>
      <c r="Q254" s="80"/>
      <c r="R254" s="80"/>
      <c r="S254" s="80"/>
      <c r="T254" s="80"/>
      <c r="U254" s="80"/>
      <c r="V254" s="80"/>
      <c r="W254" s="80"/>
      <c r="X254" s="80"/>
      <c r="Y254" s="80"/>
      <c r="Z254" s="80"/>
    </row>
    <row r="255" spans="1:26" x14ac:dyDescent="0.25">
      <c r="A255" s="80" t="s">
        <v>1488</v>
      </c>
      <c r="B255" s="80" t="s">
        <v>1115</v>
      </c>
      <c r="C255" s="80" t="s">
        <v>1116</v>
      </c>
      <c r="D255" s="80" t="s">
        <v>1117</v>
      </c>
      <c r="E255" s="80" t="s">
        <v>79</v>
      </c>
      <c r="F255" s="83" t="s">
        <v>1489</v>
      </c>
      <c r="G255" s="80"/>
      <c r="H255" s="80"/>
      <c r="I255" s="80"/>
      <c r="J255" s="80"/>
      <c r="K255" s="80"/>
      <c r="L255" s="80"/>
      <c r="M255" s="80"/>
      <c r="N255" s="80"/>
      <c r="O255" s="80"/>
      <c r="P255" s="80"/>
      <c r="Q255" s="80"/>
      <c r="R255" s="80"/>
      <c r="S255" s="80"/>
      <c r="T255" s="80"/>
      <c r="U255" s="80"/>
      <c r="V255" s="80"/>
      <c r="W255" s="80"/>
      <c r="X255" s="80"/>
      <c r="Y255" s="80"/>
      <c r="Z255" s="80"/>
    </row>
    <row r="256" spans="1:26" ht="30" x14ac:dyDescent="0.25">
      <c r="A256" s="80" t="s">
        <v>1114</v>
      </c>
      <c r="B256" s="80" t="s">
        <v>1115</v>
      </c>
      <c r="C256" s="80" t="s">
        <v>1116</v>
      </c>
      <c r="D256" s="80" t="s">
        <v>1117</v>
      </c>
      <c r="E256" s="80" t="s">
        <v>79</v>
      </c>
      <c r="F256" s="83" t="s">
        <v>1118</v>
      </c>
      <c r="G256" s="80"/>
      <c r="H256" s="80"/>
      <c r="I256" s="80"/>
      <c r="J256" s="80"/>
      <c r="K256" s="80"/>
      <c r="L256" s="80"/>
      <c r="M256" s="80"/>
      <c r="N256" s="80"/>
      <c r="O256" s="80"/>
      <c r="P256" s="80"/>
      <c r="Q256" s="80"/>
      <c r="R256" s="80"/>
      <c r="S256" s="80"/>
      <c r="T256" s="80"/>
      <c r="U256" s="80"/>
      <c r="V256" s="80"/>
      <c r="W256" s="80"/>
      <c r="X256" s="80"/>
      <c r="Y256" s="80"/>
      <c r="Z256" s="80"/>
    </row>
    <row r="257" spans="1:26" ht="30" x14ac:dyDescent="0.25">
      <c r="A257" s="80" t="s">
        <v>1114</v>
      </c>
      <c r="B257" s="80" t="s">
        <v>1115</v>
      </c>
      <c r="C257" s="80" t="s">
        <v>1116</v>
      </c>
      <c r="D257" s="80" t="s">
        <v>1117</v>
      </c>
      <c r="E257" s="80" t="s">
        <v>79</v>
      </c>
      <c r="F257" s="83" t="s">
        <v>1118</v>
      </c>
      <c r="G257" s="80"/>
      <c r="H257" s="80"/>
      <c r="I257" s="80"/>
      <c r="J257" s="80"/>
      <c r="K257" s="80"/>
      <c r="L257" s="80"/>
      <c r="M257" s="80"/>
      <c r="N257" s="80"/>
      <c r="O257" s="80"/>
      <c r="P257" s="80"/>
      <c r="Q257" s="80"/>
      <c r="R257" s="80"/>
      <c r="S257" s="80"/>
      <c r="T257" s="80"/>
      <c r="U257" s="80"/>
      <c r="V257" s="80"/>
      <c r="W257" s="80"/>
      <c r="X257" s="80"/>
      <c r="Y257" s="80"/>
      <c r="Z257" s="80"/>
    </row>
    <row r="258" spans="1:26" x14ac:dyDescent="0.25">
      <c r="A258" s="80" t="s">
        <v>1490</v>
      </c>
      <c r="B258" s="80" t="s">
        <v>1491</v>
      </c>
      <c r="C258" s="80" t="s">
        <v>1492</v>
      </c>
      <c r="D258" s="80" t="s">
        <v>1493</v>
      </c>
      <c r="E258" s="80" t="s">
        <v>79</v>
      </c>
      <c r="F258" s="83" t="s">
        <v>1494</v>
      </c>
      <c r="G258" s="80"/>
      <c r="H258" s="80"/>
      <c r="I258" s="80"/>
      <c r="J258" s="80"/>
      <c r="K258" s="80"/>
      <c r="L258" s="80"/>
      <c r="M258" s="80"/>
      <c r="N258" s="80"/>
      <c r="O258" s="80"/>
      <c r="P258" s="80"/>
      <c r="Q258" s="80"/>
      <c r="R258" s="80"/>
      <c r="S258" s="80"/>
      <c r="T258" s="80"/>
      <c r="U258" s="80"/>
      <c r="V258" s="80"/>
      <c r="W258" s="80"/>
      <c r="X258" s="80"/>
      <c r="Y258" s="80"/>
      <c r="Z258" s="80"/>
    </row>
    <row r="259" spans="1:26" x14ac:dyDescent="0.25">
      <c r="A259" s="80" t="s">
        <v>1490</v>
      </c>
      <c r="B259" s="80" t="s">
        <v>1491</v>
      </c>
      <c r="C259" s="80" t="s">
        <v>1495</v>
      </c>
      <c r="D259" s="80" t="s">
        <v>1896</v>
      </c>
      <c r="E259" s="80" t="s">
        <v>79</v>
      </c>
      <c r="F259" s="80" t="s">
        <v>1897</v>
      </c>
      <c r="G259" s="80"/>
      <c r="H259" s="80"/>
      <c r="I259" s="80"/>
      <c r="J259" s="80"/>
      <c r="K259" s="80"/>
      <c r="L259" s="80"/>
      <c r="M259" s="80"/>
      <c r="N259" s="80"/>
      <c r="O259" s="80"/>
      <c r="P259" s="80"/>
      <c r="Q259" s="80"/>
      <c r="R259" s="80"/>
      <c r="S259" s="80"/>
      <c r="T259" s="80"/>
      <c r="U259" s="80"/>
      <c r="V259" s="80"/>
      <c r="W259" s="80"/>
      <c r="X259" s="80"/>
      <c r="Y259" s="80"/>
      <c r="Z259" s="80"/>
    </row>
    <row r="260" spans="1:26" ht="45" x14ac:dyDescent="0.25">
      <c r="A260" s="80" t="s">
        <v>1490</v>
      </c>
      <c r="B260" s="80" t="s">
        <v>1491</v>
      </c>
      <c r="C260" s="80" t="s">
        <v>1492</v>
      </c>
      <c r="D260" s="80" t="s">
        <v>1496</v>
      </c>
      <c r="E260" s="80" t="s">
        <v>79</v>
      </c>
      <c r="F260" s="83" t="s">
        <v>1497</v>
      </c>
      <c r="G260" s="80"/>
      <c r="H260" s="80"/>
      <c r="I260" s="80"/>
      <c r="J260" s="80"/>
      <c r="K260" s="80"/>
      <c r="L260" s="80"/>
      <c r="M260" s="80"/>
      <c r="N260" s="80"/>
      <c r="O260" s="80"/>
      <c r="P260" s="80"/>
      <c r="Q260" s="80"/>
      <c r="R260" s="80"/>
      <c r="S260" s="80"/>
      <c r="T260" s="80"/>
      <c r="U260" s="80"/>
      <c r="V260" s="80"/>
      <c r="W260" s="80"/>
      <c r="X260" s="80"/>
      <c r="Y260" s="80"/>
      <c r="Z260" s="80"/>
    </row>
    <row r="261" spans="1:26" x14ac:dyDescent="0.25">
      <c r="A261" s="80" t="s">
        <v>1498</v>
      </c>
      <c r="B261" s="80" t="s">
        <v>1499</v>
      </c>
      <c r="C261" s="80" t="s">
        <v>1500</v>
      </c>
      <c r="D261" s="80" t="s">
        <v>1837</v>
      </c>
      <c r="E261" s="80" t="s">
        <v>79</v>
      </c>
      <c r="F261" s="83" t="s">
        <v>1838</v>
      </c>
      <c r="G261" s="80"/>
      <c r="H261" s="80"/>
      <c r="I261" s="80"/>
      <c r="J261" s="80"/>
      <c r="K261" s="80"/>
      <c r="L261" s="80"/>
      <c r="M261" s="80"/>
      <c r="N261" s="80"/>
      <c r="O261" s="80"/>
      <c r="P261" s="80"/>
      <c r="Q261" s="80"/>
      <c r="R261" s="80"/>
      <c r="S261" s="80"/>
      <c r="T261" s="80"/>
      <c r="U261" s="80"/>
      <c r="V261" s="80"/>
      <c r="W261" s="80"/>
      <c r="X261" s="80"/>
      <c r="Y261" s="80"/>
      <c r="Z261" s="80"/>
    </row>
    <row r="262" spans="1:26" x14ac:dyDescent="0.25">
      <c r="A262" s="80" t="s">
        <v>1498</v>
      </c>
      <c r="B262" s="80" t="s">
        <v>1499</v>
      </c>
      <c r="C262" s="80" t="s">
        <v>1500</v>
      </c>
      <c r="D262" s="80" t="s">
        <v>1825</v>
      </c>
      <c r="E262" s="80" t="s">
        <v>79</v>
      </c>
      <c r="F262" s="83" t="s">
        <v>1826</v>
      </c>
      <c r="G262" s="80"/>
      <c r="H262" s="80"/>
      <c r="I262" s="80"/>
      <c r="J262" s="80"/>
      <c r="K262" s="80"/>
      <c r="L262" s="80"/>
      <c r="M262" s="80"/>
      <c r="N262" s="80"/>
      <c r="O262" s="80"/>
      <c r="P262" s="80"/>
      <c r="Q262" s="80"/>
      <c r="R262" s="80"/>
      <c r="S262" s="80"/>
      <c r="T262" s="80"/>
      <c r="U262" s="80"/>
      <c r="V262" s="80"/>
      <c r="W262" s="80"/>
      <c r="X262" s="80"/>
      <c r="Y262" s="80"/>
      <c r="Z262" s="80"/>
    </row>
    <row r="263" spans="1:26" x14ac:dyDescent="0.25">
      <c r="A263" s="80" t="s">
        <v>1813</v>
      </c>
      <c r="B263" s="80" t="s">
        <v>76</v>
      </c>
      <c r="C263" s="80" t="s">
        <v>1500</v>
      </c>
      <c r="D263" s="80" t="s">
        <v>1814</v>
      </c>
      <c r="E263" s="80" t="s">
        <v>79</v>
      </c>
      <c r="F263" s="80" t="s">
        <v>1815</v>
      </c>
      <c r="G263" s="80"/>
      <c r="H263" s="80"/>
      <c r="I263" s="80"/>
      <c r="J263" s="80"/>
      <c r="K263" s="80"/>
      <c r="L263" s="80"/>
      <c r="M263" s="80"/>
      <c r="N263" s="80"/>
      <c r="O263" s="80"/>
      <c r="P263" s="80"/>
      <c r="Q263" s="80"/>
      <c r="R263" s="80"/>
      <c r="S263" s="80"/>
      <c r="T263" s="80"/>
      <c r="U263" s="80"/>
      <c r="V263" s="80"/>
      <c r="W263" s="80"/>
      <c r="X263" s="80"/>
      <c r="Y263" s="80"/>
      <c r="Z263" s="80"/>
    </row>
    <row r="264" spans="1:26" x14ac:dyDescent="0.25">
      <c r="A264" s="80" t="s">
        <v>1706</v>
      </c>
      <c r="B264" s="80" t="s">
        <v>76</v>
      </c>
      <c r="C264" s="80" t="s">
        <v>1627</v>
      </c>
      <c r="D264" s="80" t="s">
        <v>1707</v>
      </c>
      <c r="E264" s="80" t="s">
        <v>79</v>
      </c>
      <c r="F264" s="80" t="s">
        <v>1708</v>
      </c>
      <c r="G264" s="80"/>
      <c r="H264" s="80"/>
      <c r="I264" s="80"/>
      <c r="J264" s="80"/>
      <c r="K264" s="80"/>
      <c r="L264" s="80"/>
      <c r="M264" s="80"/>
      <c r="N264" s="80"/>
      <c r="O264" s="80"/>
      <c r="P264" s="80"/>
      <c r="Q264" s="80"/>
      <c r="R264" s="80"/>
      <c r="S264" s="80"/>
      <c r="T264" s="80"/>
      <c r="U264" s="80"/>
      <c r="V264" s="80"/>
      <c r="W264" s="80"/>
      <c r="X264" s="80"/>
      <c r="Y264" s="80"/>
      <c r="Z264" s="80"/>
    </row>
    <row r="265" spans="1:26" ht="30" x14ac:dyDescent="0.25">
      <c r="A265" s="80" t="s">
        <v>1501</v>
      </c>
      <c r="B265" s="80" t="s">
        <v>1502</v>
      </c>
      <c r="C265" s="80" t="s">
        <v>1503</v>
      </c>
      <c r="D265" s="80" t="s">
        <v>1504</v>
      </c>
      <c r="E265" s="80" t="s">
        <v>79</v>
      </c>
      <c r="F265" s="83" t="s">
        <v>1505</v>
      </c>
      <c r="G265" s="80"/>
      <c r="H265" s="80"/>
      <c r="I265" s="80"/>
      <c r="J265" s="80"/>
      <c r="K265" s="80"/>
      <c r="L265" s="80"/>
      <c r="M265" s="80"/>
      <c r="N265" s="80"/>
      <c r="O265" s="80"/>
      <c r="P265" s="80"/>
      <c r="Q265" s="80"/>
      <c r="R265" s="80"/>
      <c r="S265" s="80"/>
      <c r="T265" s="80"/>
      <c r="U265" s="80"/>
      <c r="V265" s="80"/>
      <c r="W265" s="80"/>
      <c r="X265" s="80"/>
      <c r="Y265" s="80"/>
      <c r="Z265" s="80"/>
    </row>
    <row r="266" spans="1:26" x14ac:dyDescent="0.25">
      <c r="A266" s="80" t="s">
        <v>1243</v>
      </c>
      <c r="B266" s="80" t="s">
        <v>76</v>
      </c>
      <c r="C266" s="80" t="s">
        <v>930</v>
      </c>
      <c r="D266" s="80" t="s">
        <v>931</v>
      </c>
      <c r="E266" s="80" t="s">
        <v>79</v>
      </c>
      <c r="F266" s="80" t="s">
        <v>1244</v>
      </c>
      <c r="G266" s="80"/>
      <c r="H266" s="80"/>
      <c r="I266" s="80"/>
      <c r="J266" s="80"/>
      <c r="K266" s="80"/>
      <c r="L266" s="80"/>
      <c r="M266" s="80"/>
      <c r="N266" s="80"/>
      <c r="O266" s="80"/>
      <c r="P266" s="80"/>
      <c r="Q266" s="80"/>
      <c r="R266" s="80"/>
      <c r="S266" s="80"/>
      <c r="T266" s="80"/>
      <c r="U266" s="80"/>
      <c r="V266" s="80"/>
      <c r="W266" s="80"/>
      <c r="X266" s="80"/>
      <c r="Y266" s="80"/>
      <c r="Z266" s="80"/>
    </row>
    <row r="267" spans="1:26" x14ac:dyDescent="0.25">
      <c r="A267" s="80" t="s">
        <v>1506</v>
      </c>
      <c r="B267" s="80" t="s">
        <v>1507</v>
      </c>
      <c r="C267" s="80" t="s">
        <v>1508</v>
      </c>
      <c r="D267" s="80" t="s">
        <v>1698</v>
      </c>
      <c r="E267" s="80" t="s">
        <v>79</v>
      </c>
      <c r="F267" s="80" t="s">
        <v>1699</v>
      </c>
      <c r="G267" s="80"/>
      <c r="H267" s="80"/>
      <c r="I267" s="80"/>
      <c r="J267" s="80"/>
      <c r="K267" s="80"/>
      <c r="L267" s="80"/>
      <c r="M267" s="80"/>
      <c r="N267" s="80"/>
      <c r="O267" s="80"/>
      <c r="P267" s="80"/>
      <c r="Q267" s="80"/>
      <c r="R267" s="80"/>
      <c r="S267" s="80"/>
      <c r="T267" s="80"/>
      <c r="U267" s="80"/>
      <c r="V267" s="80"/>
      <c r="W267" s="80"/>
      <c r="X267" s="80"/>
      <c r="Y267" s="80"/>
      <c r="Z267" s="80"/>
    </row>
    <row r="268" spans="1:26" x14ac:dyDescent="0.25">
      <c r="A268" s="80" t="s">
        <v>1506</v>
      </c>
      <c r="B268" s="80" t="s">
        <v>1507</v>
      </c>
      <c r="C268" s="80" t="s">
        <v>1508</v>
      </c>
      <c r="D268" s="80" t="s">
        <v>1509</v>
      </c>
      <c r="E268" s="80" t="s">
        <v>79</v>
      </c>
      <c r="F268" s="83" t="s">
        <v>1510</v>
      </c>
      <c r="G268" s="80"/>
      <c r="H268" s="80"/>
      <c r="I268" s="80"/>
      <c r="J268" s="80"/>
      <c r="K268" s="80"/>
      <c r="L268" s="80"/>
      <c r="M268" s="80"/>
      <c r="N268" s="80"/>
      <c r="O268" s="80"/>
      <c r="P268" s="80"/>
      <c r="Q268" s="80"/>
      <c r="R268" s="80"/>
      <c r="S268" s="80"/>
      <c r="T268" s="80"/>
      <c r="U268" s="80"/>
      <c r="V268" s="80"/>
      <c r="W268" s="80"/>
      <c r="X268" s="80"/>
      <c r="Y268" s="80"/>
      <c r="Z268" s="80"/>
    </row>
    <row r="269" spans="1:26" x14ac:dyDescent="0.25">
      <c r="A269" s="80" t="s">
        <v>1511</v>
      </c>
      <c r="B269" s="80" t="s">
        <v>1512</v>
      </c>
      <c r="C269" s="80" t="s">
        <v>1513</v>
      </c>
      <c r="D269" s="80" t="s">
        <v>1514</v>
      </c>
      <c r="E269" s="80" t="s">
        <v>79</v>
      </c>
      <c r="F269" s="83" t="s">
        <v>1515</v>
      </c>
      <c r="G269" s="80"/>
      <c r="H269" s="80"/>
      <c r="I269" s="80"/>
      <c r="J269" s="80"/>
      <c r="K269" s="80"/>
      <c r="L269" s="80"/>
      <c r="M269" s="80"/>
      <c r="N269" s="80"/>
      <c r="O269" s="80"/>
      <c r="P269" s="80"/>
      <c r="Q269" s="80"/>
      <c r="R269" s="80"/>
      <c r="S269" s="80"/>
      <c r="T269" s="80"/>
      <c r="U269" s="80"/>
      <c r="V269" s="80"/>
      <c r="W269" s="80"/>
      <c r="X269" s="80"/>
      <c r="Y269" s="80"/>
      <c r="Z269" s="80"/>
    </row>
    <row r="270" spans="1:26" ht="60" x14ac:dyDescent="0.25">
      <c r="A270" s="80" t="s">
        <v>1839</v>
      </c>
      <c r="B270" s="80" t="s">
        <v>1319</v>
      </c>
      <c r="C270" s="80" t="s">
        <v>1834</v>
      </c>
      <c r="D270" s="80" t="s">
        <v>1840</v>
      </c>
      <c r="E270" s="80" t="s">
        <v>79</v>
      </c>
      <c r="F270" s="83" t="s">
        <v>1841</v>
      </c>
      <c r="G270" s="80"/>
      <c r="H270" s="80"/>
      <c r="I270" s="80"/>
      <c r="J270" s="80"/>
      <c r="K270" s="80"/>
      <c r="L270" s="80"/>
      <c r="M270" s="80"/>
      <c r="N270" s="80"/>
      <c r="O270" s="80"/>
      <c r="P270" s="80"/>
      <c r="Q270" s="80"/>
      <c r="R270" s="80"/>
      <c r="S270" s="80"/>
      <c r="T270" s="80"/>
      <c r="U270" s="80"/>
      <c r="V270" s="80"/>
      <c r="W270" s="80"/>
      <c r="X270" s="80"/>
      <c r="Y270" s="80"/>
      <c r="Z270" s="80"/>
    </row>
    <row r="271" spans="1:26" x14ac:dyDescent="0.25">
      <c r="A271" s="80" t="s">
        <v>84</v>
      </c>
      <c r="B271" s="80" t="s">
        <v>85</v>
      </c>
      <c r="C271" s="80"/>
      <c r="D271" s="80"/>
      <c r="E271" s="80"/>
      <c r="F271" s="83"/>
      <c r="G271" s="80"/>
      <c r="H271" s="80"/>
      <c r="I271" s="80"/>
      <c r="J271" s="80"/>
      <c r="K271" s="80"/>
      <c r="L271" s="80"/>
      <c r="M271" s="80"/>
      <c r="N271" s="80"/>
      <c r="O271" s="80"/>
      <c r="P271" s="80"/>
      <c r="Q271" s="80"/>
      <c r="R271" s="80"/>
      <c r="S271" s="80"/>
      <c r="T271" s="80"/>
      <c r="U271" s="80"/>
      <c r="V271" s="80"/>
      <c r="W271" s="80"/>
      <c r="X271" s="80"/>
      <c r="Y271" s="80"/>
      <c r="Z271" s="80"/>
    </row>
    <row r="272" spans="1:26" x14ac:dyDescent="0.25">
      <c r="A272" s="80" t="s">
        <v>421</v>
      </c>
      <c r="B272" s="80" t="s">
        <v>85</v>
      </c>
      <c r="C272" s="80" t="s">
        <v>1453</v>
      </c>
      <c r="D272" s="80" t="s">
        <v>1545</v>
      </c>
      <c r="E272" s="80" t="s">
        <v>79</v>
      </c>
      <c r="F272" s="80" t="s">
        <v>1650</v>
      </c>
      <c r="G272" s="80"/>
      <c r="H272" s="80"/>
      <c r="I272" s="80"/>
      <c r="J272" s="80"/>
      <c r="K272" s="80"/>
      <c r="L272" s="80"/>
      <c r="M272" s="80"/>
      <c r="N272" s="80"/>
      <c r="O272" s="80"/>
      <c r="P272" s="80"/>
      <c r="Q272" s="80"/>
      <c r="R272" s="80"/>
      <c r="S272" s="80"/>
      <c r="T272" s="80"/>
      <c r="U272" s="80"/>
      <c r="V272" s="80"/>
      <c r="W272" s="80"/>
      <c r="X272" s="80"/>
      <c r="Y272" s="80"/>
      <c r="Z272" s="80"/>
    </row>
    <row r="273" spans="1:26" x14ac:dyDescent="0.25">
      <c r="A273" s="80" t="s">
        <v>1630</v>
      </c>
      <c r="B273" s="80" t="s">
        <v>85</v>
      </c>
      <c r="C273" s="80" t="s">
        <v>84</v>
      </c>
      <c r="D273" s="80" t="s">
        <v>1631</v>
      </c>
      <c r="E273" s="80" t="s">
        <v>79</v>
      </c>
      <c r="F273" s="80" t="s">
        <v>1632</v>
      </c>
      <c r="G273" s="80"/>
      <c r="H273" s="80"/>
      <c r="I273" s="80"/>
      <c r="J273" s="80"/>
      <c r="K273" s="80"/>
      <c r="L273" s="80"/>
      <c r="M273" s="80"/>
      <c r="N273" s="80"/>
      <c r="O273" s="80"/>
      <c r="P273" s="80"/>
      <c r="Q273" s="80"/>
      <c r="R273" s="80"/>
      <c r="S273" s="80"/>
      <c r="T273" s="80"/>
      <c r="U273" s="80"/>
      <c r="V273" s="80"/>
      <c r="W273" s="80"/>
      <c r="X273" s="80"/>
      <c r="Y273" s="80"/>
      <c r="Z273" s="80"/>
    </row>
    <row r="274" spans="1:26" ht="30" x14ac:dyDescent="0.25">
      <c r="A274" s="80" t="s">
        <v>1169</v>
      </c>
      <c r="B274" s="80" t="s">
        <v>85</v>
      </c>
      <c r="C274" s="83" t="s">
        <v>84</v>
      </c>
      <c r="D274" s="80" t="s">
        <v>1170</v>
      </c>
      <c r="E274" s="80" t="s">
        <v>79</v>
      </c>
      <c r="F274" s="83" t="s">
        <v>1171</v>
      </c>
      <c r="G274" s="80"/>
      <c r="H274" s="80"/>
      <c r="I274" s="80"/>
      <c r="J274" s="80"/>
      <c r="K274" s="80"/>
      <c r="L274" s="80"/>
      <c r="M274" s="80"/>
      <c r="N274" s="80"/>
      <c r="O274" s="80"/>
      <c r="P274" s="80"/>
      <c r="Q274" s="80"/>
      <c r="R274" s="80"/>
      <c r="S274" s="80"/>
      <c r="T274" s="80"/>
      <c r="U274" s="80"/>
      <c r="V274" s="80"/>
      <c r="W274" s="80"/>
      <c r="X274" s="80"/>
      <c r="Y274" s="80"/>
      <c r="Z274" s="80"/>
    </row>
    <row r="275" spans="1:26" x14ac:dyDescent="0.25">
      <c r="A275" s="80" t="s">
        <v>623</v>
      </c>
      <c r="B275" s="80" t="s">
        <v>947</v>
      </c>
      <c r="C275" s="80"/>
      <c r="D275" s="80"/>
      <c r="E275" s="80"/>
      <c r="F275" s="80"/>
      <c r="G275" s="80"/>
      <c r="H275" s="80"/>
      <c r="I275" s="80"/>
      <c r="J275" s="80"/>
      <c r="K275" s="80"/>
      <c r="L275" s="80"/>
      <c r="M275" s="80"/>
      <c r="N275" s="80"/>
      <c r="O275" s="80"/>
      <c r="P275" s="80"/>
      <c r="Q275" s="80"/>
      <c r="R275" s="80"/>
      <c r="S275" s="80"/>
      <c r="T275" s="80"/>
      <c r="U275" s="80"/>
      <c r="V275" s="80"/>
      <c r="W275" s="80"/>
      <c r="X275" s="80"/>
      <c r="Y275" s="80"/>
      <c r="Z275" s="80"/>
    </row>
    <row r="276" spans="1:26" ht="30" x14ac:dyDescent="0.25">
      <c r="A276" s="80" t="s">
        <v>1516</v>
      </c>
      <c r="B276" s="80" t="s">
        <v>76</v>
      </c>
      <c r="C276" s="80" t="s">
        <v>1517</v>
      </c>
      <c r="D276" s="80" t="s">
        <v>1518</v>
      </c>
      <c r="E276" s="80" t="s">
        <v>79</v>
      </c>
      <c r="F276" s="83" t="s">
        <v>1519</v>
      </c>
      <c r="G276" s="80"/>
      <c r="H276" s="80"/>
      <c r="I276" s="80"/>
      <c r="J276" s="80"/>
      <c r="K276" s="80"/>
      <c r="L276" s="80"/>
      <c r="M276" s="80"/>
      <c r="N276" s="80"/>
      <c r="O276" s="80"/>
      <c r="P276" s="80"/>
      <c r="Q276" s="80"/>
      <c r="R276" s="80"/>
      <c r="S276" s="80"/>
      <c r="T276" s="80"/>
      <c r="U276" s="80"/>
      <c r="V276" s="80"/>
      <c r="W276" s="80"/>
      <c r="X276" s="80"/>
      <c r="Y276" s="80"/>
      <c r="Z276" s="80"/>
    </row>
    <row r="277" spans="1:26" x14ac:dyDescent="0.25">
      <c r="A277" s="80" t="s">
        <v>1621</v>
      </c>
      <c r="B277" s="80" t="s">
        <v>946</v>
      </c>
      <c r="C277" s="80"/>
      <c r="D277" s="80"/>
      <c r="E277" s="80"/>
      <c r="F277" s="80"/>
      <c r="G277" s="80"/>
      <c r="H277" s="80"/>
      <c r="I277" s="80"/>
      <c r="J277" s="80"/>
      <c r="K277" s="80"/>
      <c r="L277" s="80"/>
      <c r="M277" s="80"/>
      <c r="N277" s="80"/>
      <c r="O277" s="80"/>
      <c r="P277" s="80"/>
      <c r="Q277" s="80"/>
      <c r="R277" s="80"/>
      <c r="S277" s="80"/>
      <c r="T277" s="80"/>
      <c r="U277" s="80"/>
      <c r="V277" s="80"/>
      <c r="W277" s="80"/>
      <c r="X277" s="80"/>
      <c r="Y277" s="80"/>
      <c r="Z277" s="80"/>
    </row>
    <row r="278" spans="1:26" x14ac:dyDescent="0.25">
      <c r="A278" s="80" t="s">
        <v>1578</v>
      </c>
      <c r="B278" s="80" t="s">
        <v>949</v>
      </c>
      <c r="C278" s="80"/>
      <c r="D278" s="80"/>
      <c r="E278" s="80"/>
      <c r="F278" s="80"/>
      <c r="G278" s="80"/>
      <c r="H278" s="80"/>
      <c r="I278" s="80"/>
      <c r="J278" s="80"/>
      <c r="K278" s="80"/>
      <c r="L278" s="80"/>
      <c r="M278" s="80"/>
      <c r="N278" s="80"/>
      <c r="O278" s="80"/>
      <c r="P278" s="80"/>
      <c r="Q278" s="80"/>
      <c r="R278" s="80"/>
      <c r="S278" s="80"/>
      <c r="T278" s="80"/>
      <c r="U278" s="80"/>
      <c r="V278" s="80"/>
      <c r="W278" s="80"/>
      <c r="X278" s="80"/>
      <c r="Y278" s="80"/>
      <c r="Z278" s="80"/>
    </row>
    <row r="279" spans="1:26" x14ac:dyDescent="0.25">
      <c r="A279" s="80" t="s">
        <v>685</v>
      </c>
      <c r="B279" s="80" t="s">
        <v>75</v>
      </c>
      <c r="C279" s="80"/>
      <c r="D279" s="80"/>
      <c r="E279" s="80"/>
      <c r="F279" s="80"/>
      <c r="G279" s="80"/>
      <c r="H279" s="80"/>
      <c r="I279" s="80"/>
      <c r="J279" s="80"/>
      <c r="K279" s="80"/>
      <c r="L279" s="80"/>
      <c r="M279" s="80"/>
      <c r="N279" s="80"/>
      <c r="O279" s="80"/>
      <c r="P279" s="80"/>
      <c r="Q279" s="80"/>
      <c r="R279" s="80"/>
      <c r="S279" s="80"/>
      <c r="T279" s="80"/>
      <c r="U279" s="80"/>
      <c r="V279" s="80"/>
      <c r="W279" s="80"/>
      <c r="X279" s="80"/>
      <c r="Y279" s="80"/>
      <c r="Z279" s="80"/>
    </row>
    <row r="280" spans="1:26" x14ac:dyDescent="0.25">
      <c r="A280" s="80" t="s">
        <v>1520</v>
      </c>
      <c r="B280" s="80" t="s">
        <v>1319</v>
      </c>
      <c r="C280" s="80" t="s">
        <v>1320</v>
      </c>
      <c r="D280" s="80" t="s">
        <v>1521</v>
      </c>
      <c r="E280" s="80" t="s">
        <v>79</v>
      </c>
      <c r="F280" s="80" t="s">
        <v>1522</v>
      </c>
      <c r="G280" s="80"/>
      <c r="H280" s="80"/>
      <c r="I280" s="80"/>
      <c r="J280" s="80"/>
      <c r="K280" s="80"/>
      <c r="L280" s="80"/>
      <c r="M280" s="80"/>
      <c r="N280" s="80"/>
      <c r="O280" s="80"/>
      <c r="P280" s="80"/>
      <c r="Q280" s="80"/>
      <c r="R280" s="80"/>
      <c r="S280" s="80"/>
      <c r="T280" s="80"/>
      <c r="U280" s="80"/>
      <c r="V280" s="80"/>
      <c r="W280" s="80"/>
      <c r="X280" s="80"/>
      <c r="Y280" s="80"/>
      <c r="Z280" s="80"/>
    </row>
    <row r="281" spans="1:26" x14ac:dyDescent="0.25">
      <c r="A281" s="80" t="s">
        <v>617</v>
      </c>
      <c r="B281" s="80" t="s">
        <v>803</v>
      </c>
      <c r="C281" s="80" t="s">
        <v>927</v>
      </c>
      <c r="D281" s="80" t="s">
        <v>928</v>
      </c>
      <c r="E281" s="80"/>
      <c r="F281" s="80"/>
      <c r="G281" s="80"/>
      <c r="H281" s="80"/>
      <c r="I281" s="80"/>
      <c r="J281" s="80"/>
      <c r="K281" s="80"/>
      <c r="L281" s="80"/>
      <c r="M281" s="80"/>
      <c r="N281" s="80"/>
      <c r="O281" s="80"/>
      <c r="P281" s="80"/>
      <c r="Q281" s="80"/>
      <c r="R281" s="80"/>
      <c r="S281" s="80"/>
      <c r="T281" s="80"/>
      <c r="U281" s="80"/>
      <c r="V281" s="80"/>
      <c r="W281" s="80"/>
      <c r="X281" s="80"/>
      <c r="Y281" s="80"/>
      <c r="Z281" s="80"/>
    </row>
    <row r="282" spans="1:26" x14ac:dyDescent="0.25">
      <c r="A282" s="80" t="s">
        <v>1523</v>
      </c>
      <c r="B282" s="80" t="s">
        <v>803</v>
      </c>
      <c r="C282" s="80" t="s">
        <v>1306</v>
      </c>
      <c r="D282" s="80" t="s">
        <v>1524</v>
      </c>
      <c r="E282" s="80" t="s">
        <v>79</v>
      </c>
      <c r="F282" s="80" t="s">
        <v>1525</v>
      </c>
      <c r="G282" s="80"/>
      <c r="H282" s="80"/>
      <c r="I282" s="80"/>
      <c r="J282" s="80"/>
      <c r="K282" s="80"/>
      <c r="L282" s="80"/>
      <c r="M282" s="80"/>
      <c r="N282" s="80"/>
      <c r="O282" s="80"/>
      <c r="P282" s="80"/>
      <c r="Q282" s="80"/>
      <c r="R282" s="80"/>
      <c r="S282" s="80"/>
      <c r="T282" s="80"/>
      <c r="U282" s="80"/>
      <c r="V282" s="80"/>
      <c r="W282" s="80"/>
      <c r="X282" s="80"/>
      <c r="Y282" s="80"/>
      <c r="Z282" s="80"/>
    </row>
    <row r="283" spans="1:26" x14ac:dyDescent="0.25">
      <c r="A283" s="80" t="s">
        <v>567</v>
      </c>
      <c r="B283" s="80" t="s">
        <v>803</v>
      </c>
      <c r="C283" s="80"/>
      <c r="D283" s="80"/>
      <c r="E283" s="80"/>
      <c r="F283" s="83"/>
      <c r="G283" s="80"/>
      <c r="H283" s="80"/>
      <c r="I283" s="80"/>
      <c r="J283" s="80"/>
      <c r="K283" s="80"/>
      <c r="L283" s="80"/>
      <c r="M283" s="80"/>
      <c r="N283" s="80"/>
      <c r="O283" s="80"/>
      <c r="P283" s="80"/>
      <c r="Q283" s="80"/>
      <c r="R283" s="80"/>
      <c r="S283" s="80"/>
      <c r="T283" s="80"/>
      <c r="U283" s="80"/>
      <c r="V283" s="80"/>
      <c r="W283" s="80"/>
      <c r="X283" s="80"/>
      <c r="Y283" s="80"/>
      <c r="Z283" s="80"/>
    </row>
    <row r="284" spans="1:26" ht="30" x14ac:dyDescent="0.25">
      <c r="A284" s="80" t="s">
        <v>210</v>
      </c>
      <c r="B284" s="80" t="s">
        <v>1583</v>
      </c>
      <c r="C284" s="80" t="s">
        <v>915</v>
      </c>
      <c r="D284" s="80" t="s">
        <v>1584</v>
      </c>
      <c r="E284" s="80" t="s">
        <v>79</v>
      </c>
      <c r="F284" s="83" t="s">
        <v>1585</v>
      </c>
      <c r="G284" s="80"/>
      <c r="H284" s="80"/>
      <c r="I284" s="80"/>
      <c r="J284" s="80"/>
      <c r="K284" s="80"/>
      <c r="L284" s="80"/>
      <c r="M284" s="80"/>
      <c r="N284" s="80"/>
      <c r="O284" s="80"/>
      <c r="P284" s="80"/>
      <c r="Q284" s="80"/>
      <c r="R284" s="80"/>
      <c r="S284" s="80"/>
      <c r="T284" s="80"/>
      <c r="U284" s="80"/>
      <c r="V284" s="80"/>
      <c r="W284" s="80"/>
      <c r="X284" s="80"/>
      <c r="Y284" s="80"/>
      <c r="Z284" s="80"/>
    </row>
    <row r="285" spans="1:26" x14ac:dyDescent="0.25">
      <c r="A285" s="80" t="s">
        <v>211</v>
      </c>
      <c r="B285" s="80" t="s">
        <v>1583</v>
      </c>
      <c r="C285" s="80" t="s">
        <v>915</v>
      </c>
      <c r="D285" s="80" t="s">
        <v>1584</v>
      </c>
      <c r="E285" s="80" t="s">
        <v>79</v>
      </c>
      <c r="F285" s="80" t="s">
        <v>1585</v>
      </c>
      <c r="G285" s="80"/>
      <c r="H285" s="80"/>
      <c r="I285" s="80"/>
      <c r="J285" s="80"/>
      <c r="K285" s="80"/>
      <c r="L285" s="80"/>
      <c r="M285" s="80"/>
      <c r="N285" s="80"/>
      <c r="O285" s="80"/>
      <c r="P285" s="80"/>
      <c r="Q285" s="80"/>
      <c r="R285" s="80"/>
      <c r="S285" s="80"/>
      <c r="T285" s="80"/>
      <c r="U285" s="80"/>
      <c r="V285" s="80"/>
      <c r="W285" s="80"/>
      <c r="X285" s="80"/>
      <c r="Y285" s="80"/>
      <c r="Z285" s="80"/>
    </row>
    <row r="286" spans="1:26" x14ac:dyDescent="0.25">
      <c r="A286" s="80" t="s">
        <v>286</v>
      </c>
      <c r="B286" s="80" t="s">
        <v>212</v>
      </c>
      <c r="C286" s="80"/>
      <c r="D286" s="80"/>
      <c r="E286" s="80"/>
      <c r="F286" s="83"/>
      <c r="G286" s="80"/>
      <c r="H286" s="80"/>
      <c r="I286" s="80"/>
      <c r="J286" s="80"/>
      <c r="K286" s="80"/>
      <c r="L286" s="80"/>
      <c r="M286" s="80"/>
      <c r="N286" s="80"/>
      <c r="O286" s="80"/>
      <c r="P286" s="80"/>
      <c r="Q286" s="80"/>
      <c r="R286" s="80"/>
      <c r="S286" s="80"/>
      <c r="T286" s="80"/>
      <c r="U286" s="80"/>
      <c r="V286" s="80"/>
      <c r="W286" s="80"/>
      <c r="X286" s="80"/>
      <c r="Y286" s="80"/>
      <c r="Z286" s="80"/>
    </row>
    <row r="287" spans="1:26" x14ac:dyDescent="0.25">
      <c r="A287" s="80" t="s">
        <v>206</v>
      </c>
      <c r="B287" s="80" t="s">
        <v>72</v>
      </c>
      <c r="C287" s="80"/>
      <c r="D287" s="80"/>
      <c r="E287" s="80"/>
      <c r="F287" s="80"/>
      <c r="G287" s="80"/>
      <c r="H287" s="80"/>
      <c r="I287" s="80"/>
      <c r="J287" s="80"/>
      <c r="K287" s="80"/>
      <c r="L287" s="80"/>
      <c r="M287" s="80"/>
      <c r="N287" s="80"/>
      <c r="O287" s="80"/>
      <c r="P287" s="80"/>
      <c r="Q287" s="80"/>
      <c r="R287" s="80"/>
      <c r="S287" s="80"/>
      <c r="T287" s="80"/>
      <c r="U287" s="80"/>
      <c r="V287" s="80"/>
      <c r="W287" s="80"/>
      <c r="X287" s="80"/>
      <c r="Y287" s="80"/>
      <c r="Z287" s="80"/>
    </row>
    <row r="288" spans="1:26" x14ac:dyDescent="0.25">
      <c r="A288" s="80" t="s">
        <v>287</v>
      </c>
      <c r="B288" s="80" t="s">
        <v>212</v>
      </c>
      <c r="C288" s="80"/>
      <c r="D288" s="80"/>
      <c r="E288" s="80"/>
      <c r="F288" s="83"/>
      <c r="G288" s="80"/>
      <c r="H288" s="80"/>
      <c r="I288" s="80"/>
      <c r="J288" s="80"/>
      <c r="K288" s="80"/>
      <c r="L288" s="80"/>
      <c r="M288" s="80"/>
      <c r="N288" s="80"/>
      <c r="O288" s="80"/>
      <c r="P288" s="80"/>
      <c r="Q288" s="80"/>
      <c r="R288" s="80"/>
      <c r="S288" s="80"/>
      <c r="T288" s="80"/>
      <c r="U288" s="80"/>
      <c r="V288" s="80"/>
      <c r="W288" s="80"/>
      <c r="X288" s="80"/>
      <c r="Y288" s="80"/>
      <c r="Z288" s="80"/>
    </row>
    <row r="289" spans="1:26" x14ac:dyDescent="0.25">
      <c r="A289" s="80" t="s">
        <v>207</v>
      </c>
      <c r="B289" s="80" t="s">
        <v>72</v>
      </c>
      <c r="C289" s="80"/>
      <c r="D289" s="80"/>
      <c r="E289" s="80"/>
      <c r="F289" s="83"/>
      <c r="G289" s="80"/>
      <c r="H289" s="80"/>
      <c r="I289" s="80"/>
      <c r="J289" s="80"/>
      <c r="K289" s="80"/>
      <c r="L289" s="80"/>
      <c r="M289" s="80"/>
      <c r="N289" s="80"/>
      <c r="O289" s="80"/>
      <c r="P289" s="80"/>
      <c r="Q289" s="80"/>
      <c r="R289" s="80"/>
      <c r="S289" s="80"/>
      <c r="T289" s="80"/>
      <c r="U289" s="80"/>
      <c r="V289" s="80"/>
      <c r="W289" s="80"/>
      <c r="X289" s="80"/>
      <c r="Y289" s="80"/>
      <c r="Z289" s="80"/>
    </row>
    <row r="290" spans="1:26" x14ac:dyDescent="0.25">
      <c r="A290" s="80" t="s">
        <v>477</v>
      </c>
      <c r="B290" s="80" t="s">
        <v>945</v>
      </c>
      <c r="C290" s="80"/>
      <c r="D290" s="80"/>
      <c r="E290" s="80"/>
      <c r="F290" s="83"/>
      <c r="G290" s="80"/>
      <c r="H290" s="80"/>
      <c r="I290" s="80"/>
      <c r="J290" s="80"/>
      <c r="K290" s="80"/>
      <c r="L290" s="80"/>
      <c r="M290" s="80"/>
      <c r="N290" s="80"/>
      <c r="O290" s="80"/>
      <c r="P290" s="80"/>
      <c r="Q290" s="80"/>
      <c r="R290" s="80"/>
      <c r="S290" s="80"/>
      <c r="T290" s="80"/>
      <c r="U290" s="80"/>
      <c r="V290" s="80"/>
      <c r="W290" s="80"/>
      <c r="X290" s="80"/>
      <c r="Y290" s="80"/>
      <c r="Z290" s="80"/>
    </row>
    <row r="291" spans="1:26" x14ac:dyDescent="0.25">
      <c r="A291" s="80" t="s">
        <v>478</v>
      </c>
      <c r="B291" s="80" t="s">
        <v>945</v>
      </c>
      <c r="C291" s="80"/>
      <c r="D291" s="80"/>
      <c r="E291" s="80"/>
      <c r="F291" s="80"/>
      <c r="G291" s="80"/>
      <c r="H291" s="80"/>
      <c r="I291" s="80"/>
      <c r="J291" s="80"/>
      <c r="K291" s="80"/>
      <c r="L291" s="80"/>
      <c r="M291" s="80"/>
      <c r="N291" s="80"/>
      <c r="O291" s="80"/>
      <c r="P291" s="80"/>
      <c r="Q291" s="80"/>
      <c r="R291" s="80"/>
      <c r="S291" s="80"/>
      <c r="T291" s="80"/>
      <c r="U291" s="80"/>
      <c r="V291" s="80"/>
      <c r="W291" s="80"/>
      <c r="X291" s="80"/>
      <c r="Y291" s="80"/>
      <c r="Z291" s="80"/>
    </row>
    <row r="292" spans="1:26" x14ac:dyDescent="0.25">
      <c r="A292" s="80" t="s">
        <v>132</v>
      </c>
      <c r="B292" s="80" t="s">
        <v>945</v>
      </c>
      <c r="C292" s="80"/>
      <c r="D292" s="80"/>
      <c r="E292" s="80"/>
      <c r="F292" s="80"/>
      <c r="G292" s="80"/>
      <c r="H292" s="80"/>
      <c r="I292" s="80"/>
      <c r="J292" s="80"/>
      <c r="K292" s="80"/>
      <c r="L292" s="80"/>
      <c r="M292" s="80"/>
      <c r="N292" s="80"/>
      <c r="O292" s="80"/>
      <c r="P292" s="80"/>
      <c r="Q292" s="80"/>
      <c r="R292" s="80"/>
      <c r="S292" s="80"/>
      <c r="T292" s="80"/>
      <c r="U292" s="80"/>
      <c r="V292" s="80"/>
      <c r="W292" s="80"/>
      <c r="X292" s="80"/>
      <c r="Y292" s="80"/>
      <c r="Z292" s="80"/>
    </row>
    <row r="293" spans="1:26" x14ac:dyDescent="0.25">
      <c r="A293" s="80" t="s">
        <v>133</v>
      </c>
      <c r="B293" s="80" t="s">
        <v>945</v>
      </c>
      <c r="C293" s="80"/>
      <c r="D293" s="80"/>
      <c r="E293" s="80"/>
      <c r="F293" s="83"/>
      <c r="G293" s="80"/>
      <c r="H293" s="80"/>
      <c r="I293" s="80"/>
      <c r="J293" s="80"/>
      <c r="K293" s="80"/>
      <c r="L293" s="80"/>
      <c r="M293" s="80"/>
      <c r="N293" s="80"/>
      <c r="O293" s="80"/>
      <c r="P293" s="80"/>
      <c r="Q293" s="80"/>
      <c r="R293" s="80"/>
      <c r="S293" s="80"/>
      <c r="T293" s="80"/>
      <c r="U293" s="80"/>
      <c r="V293" s="80"/>
      <c r="W293" s="80"/>
      <c r="X293" s="80"/>
      <c r="Y293" s="80"/>
      <c r="Z293" s="80"/>
    </row>
    <row r="294" spans="1:26" x14ac:dyDescent="0.25">
      <c r="A294" s="80" t="s">
        <v>1526</v>
      </c>
      <c r="B294" s="80" t="s">
        <v>1399</v>
      </c>
      <c r="C294" s="80" t="s">
        <v>915</v>
      </c>
      <c r="D294" s="80" t="s">
        <v>1527</v>
      </c>
      <c r="E294" s="80" t="s">
        <v>79</v>
      </c>
      <c r="F294" s="80" t="s">
        <v>1528</v>
      </c>
      <c r="G294" s="80"/>
      <c r="H294" s="80"/>
      <c r="I294" s="80"/>
      <c r="J294" s="80"/>
      <c r="K294" s="80"/>
      <c r="L294" s="80"/>
      <c r="M294" s="80"/>
      <c r="N294" s="80"/>
      <c r="O294" s="80"/>
      <c r="P294" s="80"/>
      <c r="Q294" s="80"/>
      <c r="R294" s="80"/>
      <c r="S294" s="80"/>
      <c r="T294" s="80"/>
      <c r="U294" s="80"/>
      <c r="V294" s="80"/>
      <c r="W294" s="80"/>
      <c r="X294" s="80"/>
      <c r="Y294" s="80"/>
      <c r="Z294" s="80"/>
    </row>
    <row r="295" spans="1:26" x14ac:dyDescent="0.25">
      <c r="A295" s="80" t="s">
        <v>1529</v>
      </c>
      <c r="B295" s="80" t="s">
        <v>1399</v>
      </c>
      <c r="C295" s="80" t="s">
        <v>915</v>
      </c>
      <c r="D295" s="80" t="s">
        <v>1530</v>
      </c>
      <c r="E295" s="80" t="s">
        <v>79</v>
      </c>
      <c r="F295" s="80" t="s">
        <v>1531</v>
      </c>
      <c r="G295" s="80"/>
      <c r="H295" s="80"/>
      <c r="I295" s="80"/>
      <c r="J295" s="80"/>
      <c r="K295" s="80"/>
      <c r="L295" s="80"/>
      <c r="M295" s="80"/>
      <c r="N295" s="80"/>
      <c r="O295" s="80"/>
      <c r="P295" s="80"/>
      <c r="Q295" s="80"/>
      <c r="R295" s="80"/>
      <c r="S295" s="80"/>
      <c r="T295" s="80"/>
      <c r="U295" s="80"/>
      <c r="V295" s="80"/>
      <c r="W295" s="80"/>
      <c r="X295" s="80"/>
      <c r="Y295" s="80"/>
      <c r="Z295" s="80"/>
    </row>
    <row r="296" spans="1:26" x14ac:dyDescent="0.25">
      <c r="A296" s="80" t="s">
        <v>30</v>
      </c>
      <c r="B296" s="80" t="s">
        <v>75</v>
      </c>
      <c r="C296" s="80"/>
      <c r="D296" s="80"/>
      <c r="E296" s="80"/>
      <c r="F296" s="83"/>
      <c r="G296" s="80"/>
      <c r="H296" s="80"/>
      <c r="I296" s="80"/>
      <c r="J296" s="80"/>
      <c r="K296" s="80"/>
      <c r="L296" s="80"/>
      <c r="M296" s="80"/>
      <c r="N296" s="80"/>
      <c r="O296" s="80"/>
      <c r="P296" s="80"/>
      <c r="Q296" s="80"/>
      <c r="R296" s="80"/>
      <c r="S296" s="80"/>
      <c r="T296" s="80"/>
      <c r="U296" s="80"/>
      <c r="V296" s="80"/>
      <c r="W296" s="80"/>
      <c r="X296" s="80"/>
      <c r="Y296" s="80"/>
      <c r="Z296" s="80"/>
    </row>
    <row r="297" spans="1:26" x14ac:dyDescent="0.25">
      <c r="A297" s="80" t="s">
        <v>516</v>
      </c>
      <c r="B297" s="80" t="s">
        <v>515</v>
      </c>
      <c r="C297" s="80"/>
      <c r="D297" s="80"/>
      <c r="E297" s="80"/>
      <c r="F297" s="83"/>
      <c r="G297" s="80"/>
      <c r="H297" s="80"/>
      <c r="I297" s="80"/>
      <c r="J297" s="80"/>
      <c r="K297" s="80"/>
      <c r="L297" s="80"/>
      <c r="M297" s="80"/>
      <c r="N297" s="80"/>
      <c r="O297" s="80"/>
      <c r="P297" s="80"/>
      <c r="Q297" s="80"/>
      <c r="R297" s="80"/>
      <c r="S297" s="80"/>
      <c r="T297" s="80"/>
      <c r="U297" s="80"/>
      <c r="V297" s="80"/>
      <c r="W297" s="80"/>
      <c r="X297" s="80"/>
      <c r="Y297" s="80"/>
      <c r="Z297" s="80"/>
    </row>
    <row r="298" spans="1:26" x14ac:dyDescent="0.25">
      <c r="A298" s="80" t="s">
        <v>701</v>
      </c>
      <c r="B298" s="80" t="s">
        <v>515</v>
      </c>
      <c r="C298" s="80"/>
      <c r="D298" s="80"/>
      <c r="E298" s="80"/>
      <c r="F298" s="83"/>
      <c r="G298" s="80"/>
      <c r="H298" s="80"/>
      <c r="I298" s="80"/>
      <c r="J298" s="80"/>
      <c r="K298" s="80"/>
      <c r="L298" s="80"/>
      <c r="M298" s="80"/>
      <c r="N298" s="80"/>
      <c r="O298" s="80"/>
      <c r="P298" s="80"/>
      <c r="Q298" s="80"/>
      <c r="R298" s="80"/>
      <c r="S298" s="80"/>
      <c r="T298" s="80"/>
      <c r="U298" s="80"/>
      <c r="V298" s="80"/>
      <c r="W298" s="80"/>
      <c r="X298" s="80"/>
      <c r="Y298" s="80"/>
      <c r="Z298" s="80"/>
    </row>
    <row r="299" spans="1:26" x14ac:dyDescent="0.25">
      <c r="A299" s="80" t="s">
        <v>639</v>
      </c>
      <c r="B299" s="80" t="s">
        <v>515</v>
      </c>
      <c r="C299" s="80"/>
      <c r="D299" s="80"/>
      <c r="E299" s="80"/>
      <c r="F299" s="83"/>
      <c r="G299" s="80"/>
      <c r="H299" s="80"/>
      <c r="I299" s="80"/>
      <c r="J299" s="80"/>
      <c r="K299" s="80"/>
      <c r="L299" s="80"/>
      <c r="M299" s="80"/>
      <c r="N299" s="80"/>
      <c r="O299" s="80"/>
      <c r="P299" s="80"/>
      <c r="Q299" s="80"/>
      <c r="R299" s="80"/>
      <c r="S299" s="80"/>
      <c r="T299" s="80"/>
      <c r="U299" s="80"/>
      <c r="V299" s="80"/>
      <c r="W299" s="80"/>
      <c r="X299" s="80"/>
      <c r="Y299" s="80"/>
      <c r="Z299" s="80"/>
    </row>
    <row r="300" spans="1:26" x14ac:dyDescent="0.25">
      <c r="A300" s="80" t="s">
        <v>696</v>
      </c>
      <c r="B300" s="80" t="s">
        <v>950</v>
      </c>
      <c r="C300" s="80"/>
      <c r="D300" s="80" t="s">
        <v>1229</v>
      </c>
      <c r="E300" s="80" t="s">
        <v>79</v>
      </c>
      <c r="F300" s="83" t="s">
        <v>1230</v>
      </c>
      <c r="G300" s="80"/>
      <c r="H300" s="80"/>
      <c r="I300" s="80"/>
      <c r="J300" s="80"/>
      <c r="K300" s="80"/>
      <c r="L300" s="80"/>
      <c r="M300" s="80"/>
      <c r="N300" s="80"/>
      <c r="O300" s="80"/>
      <c r="P300" s="80"/>
      <c r="Q300" s="80"/>
      <c r="R300" s="80"/>
      <c r="S300" s="80"/>
      <c r="T300" s="80"/>
      <c r="U300" s="80"/>
      <c r="V300" s="80"/>
      <c r="W300" s="80"/>
      <c r="X300" s="80"/>
      <c r="Y300" s="80"/>
      <c r="Z300" s="80"/>
    </row>
    <row r="301" spans="1:26" x14ac:dyDescent="0.25">
      <c r="A301" s="80" t="s">
        <v>1532</v>
      </c>
      <c r="B301" s="80" t="s">
        <v>697</v>
      </c>
      <c r="C301" s="80" t="s">
        <v>1476</v>
      </c>
      <c r="D301" s="80" t="s">
        <v>1533</v>
      </c>
      <c r="E301" s="80" t="s">
        <v>79</v>
      </c>
      <c r="F301" s="80" t="s">
        <v>1534</v>
      </c>
      <c r="G301" s="80"/>
      <c r="H301" s="80"/>
      <c r="I301" s="80"/>
      <c r="J301" s="80"/>
      <c r="K301" s="80"/>
      <c r="L301" s="80"/>
      <c r="M301" s="80"/>
      <c r="N301" s="80"/>
      <c r="O301" s="80"/>
      <c r="P301" s="80"/>
      <c r="Q301" s="80"/>
      <c r="R301" s="80"/>
      <c r="S301" s="80"/>
      <c r="T301" s="80"/>
      <c r="U301" s="80"/>
      <c r="V301" s="80"/>
      <c r="W301" s="80"/>
      <c r="X301" s="80"/>
      <c r="Y301" s="80"/>
      <c r="Z301" s="80"/>
    </row>
    <row r="302" spans="1:26" ht="45" x14ac:dyDescent="0.25">
      <c r="A302" s="80" t="s">
        <v>1532</v>
      </c>
      <c r="B302" s="80" t="s">
        <v>697</v>
      </c>
      <c r="C302" s="80" t="s">
        <v>1000</v>
      </c>
      <c r="D302" s="80" t="s">
        <v>1535</v>
      </c>
      <c r="E302" s="80" t="s">
        <v>79</v>
      </c>
      <c r="F302" s="83" t="s">
        <v>1536</v>
      </c>
      <c r="G302" s="80"/>
      <c r="H302" s="80"/>
      <c r="I302" s="80"/>
      <c r="J302" s="80"/>
      <c r="K302" s="80"/>
      <c r="L302" s="80"/>
      <c r="M302" s="80"/>
      <c r="N302" s="80"/>
      <c r="O302" s="80"/>
      <c r="P302" s="80"/>
      <c r="Q302" s="80"/>
      <c r="R302" s="80"/>
      <c r="S302" s="80"/>
      <c r="T302" s="80"/>
      <c r="U302" s="80"/>
      <c r="V302" s="80"/>
      <c r="W302" s="80"/>
      <c r="X302" s="80"/>
      <c r="Y302" s="80"/>
      <c r="Z302" s="80"/>
    </row>
    <row r="303" spans="1:26" x14ac:dyDescent="0.25">
      <c r="A303" s="80" t="s">
        <v>1537</v>
      </c>
      <c r="B303" s="80" t="s">
        <v>697</v>
      </c>
      <c r="C303" s="80" t="s">
        <v>1476</v>
      </c>
      <c r="D303" s="80" t="s">
        <v>1538</v>
      </c>
      <c r="E303" s="80" t="s">
        <v>79</v>
      </c>
      <c r="F303" s="83" t="s">
        <v>1539</v>
      </c>
      <c r="G303" s="80"/>
      <c r="H303" s="80"/>
      <c r="I303" s="80"/>
      <c r="J303" s="80"/>
      <c r="K303" s="80"/>
      <c r="L303" s="80"/>
      <c r="M303" s="80"/>
      <c r="N303" s="80"/>
      <c r="O303" s="80"/>
      <c r="P303" s="80"/>
      <c r="Q303" s="80"/>
      <c r="R303" s="80"/>
      <c r="S303" s="80"/>
      <c r="T303" s="80"/>
      <c r="U303" s="80"/>
      <c r="V303" s="80"/>
      <c r="W303" s="80"/>
      <c r="X303" s="80"/>
      <c r="Y303" s="80"/>
      <c r="Z303" s="80"/>
    </row>
    <row r="304" spans="1:26" ht="75" x14ac:dyDescent="0.25">
      <c r="A304" s="80" t="s">
        <v>1768</v>
      </c>
      <c r="B304" s="80" t="s">
        <v>1769</v>
      </c>
      <c r="C304" s="80" t="s">
        <v>1770</v>
      </c>
      <c r="D304" s="80" t="s">
        <v>1771</v>
      </c>
      <c r="E304" s="80" t="s">
        <v>79</v>
      </c>
      <c r="F304" s="83" t="s">
        <v>1772</v>
      </c>
      <c r="G304" s="80"/>
      <c r="H304" s="80"/>
      <c r="I304" s="80"/>
      <c r="J304" s="80"/>
      <c r="K304" s="80"/>
      <c r="L304" s="80"/>
      <c r="M304" s="80"/>
      <c r="N304" s="80"/>
      <c r="O304" s="80"/>
      <c r="P304" s="80"/>
      <c r="Q304" s="80"/>
      <c r="R304" s="80"/>
      <c r="S304" s="80"/>
      <c r="T304" s="80"/>
      <c r="U304" s="80"/>
      <c r="V304" s="80"/>
      <c r="W304" s="80"/>
      <c r="X304" s="80"/>
      <c r="Y304" s="80"/>
      <c r="Z304" s="80"/>
    </row>
    <row r="305" spans="1:26" ht="30" x14ac:dyDescent="0.25">
      <c r="A305" s="80" t="s">
        <v>929</v>
      </c>
      <c r="B305" s="80" t="s">
        <v>76</v>
      </c>
      <c r="C305" s="80" t="s">
        <v>930</v>
      </c>
      <c r="D305" s="80" t="s">
        <v>931</v>
      </c>
      <c r="E305" s="80"/>
      <c r="F305" s="83" t="s">
        <v>975</v>
      </c>
      <c r="G305" s="80"/>
      <c r="H305" s="80"/>
      <c r="I305" s="80"/>
      <c r="J305" s="80"/>
      <c r="K305" s="80"/>
      <c r="L305" s="80"/>
      <c r="M305" s="80"/>
      <c r="N305" s="80"/>
      <c r="O305" s="80"/>
      <c r="P305" s="80"/>
      <c r="Q305" s="80"/>
      <c r="R305" s="80"/>
      <c r="S305" s="80"/>
      <c r="T305" s="80"/>
      <c r="U305" s="80"/>
      <c r="V305" s="80"/>
      <c r="W305" s="80"/>
      <c r="X305" s="80"/>
      <c r="Y305" s="80"/>
      <c r="Z305" s="80"/>
    </row>
    <row r="306" spans="1:26" x14ac:dyDescent="0.25">
      <c r="A306" s="80" t="s">
        <v>29</v>
      </c>
      <c r="B306" s="80" t="s">
        <v>75</v>
      </c>
      <c r="C306" s="80"/>
      <c r="D306" s="80"/>
      <c r="E306" s="80"/>
      <c r="F306" s="80"/>
      <c r="G306" s="80"/>
      <c r="H306" s="80"/>
      <c r="I306" s="80"/>
      <c r="J306" s="80"/>
      <c r="K306" s="80"/>
      <c r="L306" s="80"/>
      <c r="M306" s="80"/>
      <c r="N306" s="80"/>
      <c r="O306" s="80"/>
      <c r="P306" s="80"/>
      <c r="Q306" s="80"/>
      <c r="R306" s="80"/>
      <c r="S306" s="80"/>
      <c r="T306" s="80"/>
      <c r="U306" s="80"/>
      <c r="V306" s="80"/>
      <c r="W306" s="80"/>
      <c r="X306" s="80"/>
      <c r="Y306" s="80"/>
      <c r="Z306" s="80"/>
    </row>
    <row r="307" spans="1:26" x14ac:dyDescent="0.25">
      <c r="A307" s="80" t="s">
        <v>202</v>
      </c>
      <c r="B307" s="80" t="s">
        <v>212</v>
      </c>
      <c r="C307" s="80"/>
      <c r="D307" s="80"/>
      <c r="E307" s="80"/>
      <c r="F307" s="80"/>
      <c r="G307" s="80"/>
      <c r="H307" s="80"/>
      <c r="I307" s="80"/>
      <c r="J307" s="80"/>
      <c r="K307" s="80"/>
      <c r="L307" s="80"/>
      <c r="M307" s="80"/>
      <c r="N307" s="80"/>
      <c r="O307" s="80"/>
      <c r="P307" s="80"/>
      <c r="Q307" s="80"/>
      <c r="R307" s="80"/>
      <c r="S307" s="80"/>
      <c r="T307" s="80"/>
      <c r="U307" s="80"/>
      <c r="V307" s="80"/>
      <c r="W307" s="80"/>
      <c r="X307" s="80"/>
      <c r="Y307" s="80"/>
      <c r="Z307" s="80"/>
    </row>
    <row r="308" spans="1:26" x14ac:dyDescent="0.25">
      <c r="A308" s="80" t="s">
        <v>208</v>
      </c>
      <c r="B308" s="80" t="s">
        <v>212</v>
      </c>
      <c r="C308" s="80"/>
      <c r="D308" s="80"/>
      <c r="E308" s="80"/>
      <c r="F308" s="80"/>
      <c r="G308" s="80"/>
      <c r="H308" s="80"/>
      <c r="I308" s="80"/>
      <c r="J308" s="80"/>
      <c r="K308" s="80"/>
      <c r="L308" s="80"/>
      <c r="M308" s="80"/>
      <c r="N308" s="80"/>
      <c r="O308" s="80"/>
      <c r="P308" s="80"/>
      <c r="Q308" s="80"/>
      <c r="R308" s="80"/>
      <c r="S308" s="80"/>
      <c r="T308" s="80"/>
      <c r="U308" s="80"/>
      <c r="V308" s="80"/>
      <c r="W308" s="80"/>
      <c r="X308" s="80"/>
      <c r="Y308" s="80"/>
      <c r="Z308" s="80"/>
    </row>
    <row r="309" spans="1:26" x14ac:dyDescent="0.25">
      <c r="A309" s="80" t="s">
        <v>264</v>
      </c>
      <c r="B309" s="80" t="s">
        <v>212</v>
      </c>
      <c r="C309" s="80"/>
      <c r="D309" s="80"/>
      <c r="E309" s="80"/>
      <c r="F309" s="80"/>
      <c r="G309" s="80"/>
      <c r="H309" s="80"/>
      <c r="I309" s="80"/>
      <c r="J309" s="80"/>
      <c r="K309" s="80"/>
      <c r="L309" s="80"/>
      <c r="M309" s="80"/>
      <c r="N309" s="80"/>
      <c r="O309" s="80"/>
      <c r="P309" s="80"/>
      <c r="Q309" s="80"/>
      <c r="R309" s="80"/>
      <c r="S309" s="80"/>
      <c r="T309" s="80"/>
      <c r="U309" s="80"/>
      <c r="V309" s="80"/>
      <c r="W309" s="80"/>
      <c r="X309" s="80"/>
      <c r="Y309" s="80"/>
      <c r="Z309" s="80"/>
    </row>
    <row r="310" spans="1:26" x14ac:dyDescent="0.25">
      <c r="A310" s="80" t="s">
        <v>240</v>
      </c>
      <c r="B310" s="80" t="s">
        <v>212</v>
      </c>
      <c r="C310" s="80"/>
      <c r="D310" s="80"/>
      <c r="E310" s="80"/>
      <c r="F310" s="80"/>
      <c r="G310" s="80"/>
      <c r="H310" s="80"/>
      <c r="I310" s="80"/>
      <c r="J310" s="80"/>
      <c r="K310" s="80"/>
      <c r="L310" s="80"/>
      <c r="M310" s="80"/>
      <c r="N310" s="80"/>
      <c r="O310" s="80"/>
      <c r="P310" s="80"/>
      <c r="Q310" s="80"/>
      <c r="R310" s="80"/>
      <c r="S310" s="80"/>
      <c r="T310" s="80"/>
      <c r="U310" s="80"/>
      <c r="V310" s="80"/>
      <c r="W310" s="80"/>
      <c r="X310" s="80"/>
      <c r="Y310" s="80"/>
      <c r="Z310" s="80"/>
    </row>
    <row r="311" spans="1:26" x14ac:dyDescent="0.25">
      <c r="A311" s="80" t="s">
        <v>256</v>
      </c>
      <c r="B311" s="80" t="s">
        <v>72</v>
      </c>
      <c r="C311" s="80"/>
      <c r="D311" s="80"/>
      <c r="E311" s="80"/>
      <c r="F311" s="80"/>
      <c r="G311" s="80"/>
      <c r="H311" s="80"/>
      <c r="I311" s="80"/>
      <c r="J311" s="80"/>
      <c r="K311" s="80"/>
      <c r="L311" s="80"/>
      <c r="M311" s="80"/>
      <c r="N311" s="80"/>
      <c r="O311" s="80"/>
      <c r="P311" s="80"/>
      <c r="Q311" s="80"/>
      <c r="R311" s="80"/>
      <c r="S311" s="80"/>
      <c r="T311" s="80"/>
      <c r="U311" s="80"/>
      <c r="V311" s="80"/>
      <c r="W311" s="80"/>
      <c r="X311" s="80"/>
      <c r="Y311" s="80"/>
      <c r="Z311" s="80"/>
    </row>
    <row r="312" spans="1:26" x14ac:dyDescent="0.25">
      <c r="A312" s="80" t="s">
        <v>218</v>
      </c>
      <c r="B312" s="80" t="s">
        <v>213</v>
      </c>
      <c r="C312" s="80" t="s">
        <v>937</v>
      </c>
      <c r="D312" s="80"/>
      <c r="E312" s="80"/>
      <c r="F312" s="80"/>
      <c r="G312" s="80"/>
      <c r="H312" s="80"/>
      <c r="I312" s="80"/>
      <c r="J312" s="80"/>
      <c r="K312" s="80"/>
      <c r="L312" s="80"/>
      <c r="M312" s="80"/>
      <c r="N312" s="80"/>
      <c r="O312" s="80"/>
      <c r="P312" s="80"/>
      <c r="Q312" s="80"/>
      <c r="R312" s="80"/>
      <c r="S312" s="80"/>
      <c r="T312" s="80"/>
      <c r="U312" s="80"/>
      <c r="V312" s="80"/>
      <c r="W312" s="80"/>
      <c r="X312" s="80"/>
      <c r="Y312" s="80"/>
      <c r="Z312" s="80"/>
    </row>
    <row r="313" spans="1:26" x14ac:dyDescent="0.25">
      <c r="A313" s="80" t="s">
        <v>225</v>
      </c>
      <c r="B313" s="80" t="s">
        <v>212</v>
      </c>
      <c r="C313" s="80"/>
      <c r="D313" s="80"/>
      <c r="E313" s="80"/>
      <c r="F313" s="80"/>
      <c r="G313" s="80"/>
      <c r="H313" s="80"/>
      <c r="I313" s="80"/>
      <c r="J313" s="80"/>
      <c r="K313" s="80"/>
      <c r="L313" s="80"/>
      <c r="M313" s="80"/>
      <c r="N313" s="80"/>
      <c r="O313" s="80"/>
      <c r="P313" s="80"/>
      <c r="Q313" s="80"/>
      <c r="R313" s="80"/>
      <c r="S313" s="80"/>
      <c r="T313" s="80"/>
      <c r="U313" s="80"/>
      <c r="V313" s="80"/>
      <c r="W313" s="80"/>
      <c r="X313" s="80"/>
      <c r="Y313" s="80"/>
      <c r="Z313" s="80"/>
    </row>
    <row r="314" spans="1:26" x14ac:dyDescent="0.25">
      <c r="A314" s="80" t="s">
        <v>248</v>
      </c>
      <c r="B314" s="80" t="s">
        <v>72</v>
      </c>
      <c r="C314" s="80"/>
      <c r="D314" s="80"/>
      <c r="E314" s="80"/>
      <c r="F314" s="80"/>
      <c r="G314" s="80"/>
      <c r="H314" s="80"/>
      <c r="I314" s="80"/>
      <c r="J314" s="80"/>
      <c r="K314" s="80"/>
      <c r="L314" s="80"/>
      <c r="M314" s="80"/>
      <c r="N314" s="80"/>
      <c r="O314" s="80"/>
      <c r="P314" s="80"/>
      <c r="Q314" s="80"/>
      <c r="R314" s="80"/>
      <c r="S314" s="80"/>
      <c r="T314" s="80"/>
      <c r="U314" s="80"/>
      <c r="V314" s="80"/>
      <c r="W314" s="80"/>
      <c r="X314" s="80"/>
      <c r="Y314" s="80"/>
      <c r="Z314" s="80"/>
    </row>
    <row r="315" spans="1:26" x14ac:dyDescent="0.25">
      <c r="A315" s="80" t="s">
        <v>233</v>
      </c>
      <c r="B315" s="80" t="s">
        <v>212</v>
      </c>
      <c r="C315" s="80"/>
      <c r="D315" s="80"/>
      <c r="E315" s="80"/>
      <c r="F315" s="80"/>
      <c r="G315" s="80"/>
      <c r="H315" s="80"/>
      <c r="I315" s="80"/>
      <c r="J315" s="80"/>
      <c r="K315" s="80"/>
      <c r="L315" s="80"/>
      <c r="M315" s="80"/>
      <c r="N315" s="80"/>
      <c r="O315" s="80"/>
      <c r="P315" s="80"/>
      <c r="Q315" s="80"/>
      <c r="R315" s="80"/>
      <c r="S315" s="80"/>
      <c r="T315" s="80"/>
      <c r="U315" s="80"/>
      <c r="V315" s="80"/>
      <c r="W315" s="80"/>
      <c r="X315" s="80"/>
      <c r="Y315" s="80"/>
      <c r="Z315" s="80"/>
    </row>
    <row r="316" spans="1:26" x14ac:dyDescent="0.25">
      <c r="A316" s="80" t="s">
        <v>265</v>
      </c>
      <c r="B316" s="80" t="s">
        <v>212</v>
      </c>
      <c r="C316" s="80"/>
      <c r="D316" s="80"/>
      <c r="E316" s="80"/>
      <c r="F316" s="80"/>
      <c r="G316" s="80"/>
      <c r="H316" s="80"/>
      <c r="I316" s="80"/>
      <c r="J316" s="80"/>
      <c r="K316" s="80"/>
      <c r="L316" s="80"/>
      <c r="M316" s="80"/>
      <c r="N316" s="80"/>
      <c r="O316" s="80"/>
      <c r="P316" s="80"/>
      <c r="Q316" s="80"/>
      <c r="R316" s="80"/>
      <c r="S316" s="80"/>
      <c r="T316" s="80"/>
      <c r="U316" s="80"/>
      <c r="V316" s="80"/>
      <c r="W316" s="80"/>
      <c r="X316" s="80"/>
      <c r="Y316" s="80"/>
      <c r="Z316" s="80"/>
    </row>
    <row r="317" spans="1:26" x14ac:dyDescent="0.25">
      <c r="A317" s="80" t="s">
        <v>241</v>
      </c>
      <c r="B317" s="80" t="s">
        <v>212</v>
      </c>
      <c r="C317" s="80"/>
      <c r="D317" s="80"/>
      <c r="E317" s="80"/>
      <c r="F317" s="80"/>
      <c r="G317" s="80"/>
      <c r="H317" s="80"/>
      <c r="I317" s="80"/>
      <c r="J317" s="80"/>
      <c r="K317" s="80"/>
      <c r="L317" s="80"/>
      <c r="M317" s="80"/>
      <c r="N317" s="80"/>
      <c r="O317" s="80"/>
      <c r="P317" s="80"/>
      <c r="Q317" s="80"/>
      <c r="R317" s="80"/>
      <c r="S317" s="80"/>
      <c r="T317" s="80"/>
      <c r="U317" s="80"/>
      <c r="V317" s="80"/>
      <c r="W317" s="80"/>
      <c r="X317" s="80"/>
      <c r="Y317" s="80"/>
      <c r="Z317" s="80"/>
    </row>
    <row r="318" spans="1:26" x14ac:dyDescent="0.25">
      <c r="A318" s="80" t="s">
        <v>257</v>
      </c>
      <c r="B318" s="80" t="s">
        <v>72</v>
      </c>
      <c r="C318" s="80"/>
      <c r="D318" s="80"/>
      <c r="E318" s="80"/>
      <c r="F318" s="80"/>
      <c r="G318" s="80"/>
      <c r="H318" s="80"/>
      <c r="I318" s="80"/>
      <c r="J318" s="80"/>
      <c r="K318" s="80"/>
      <c r="L318" s="80"/>
      <c r="M318" s="80"/>
      <c r="N318" s="80"/>
      <c r="O318" s="80"/>
      <c r="P318" s="80"/>
      <c r="Q318" s="80"/>
      <c r="R318" s="80"/>
      <c r="S318" s="80"/>
      <c r="T318" s="80"/>
      <c r="U318" s="80"/>
      <c r="V318" s="80"/>
      <c r="W318" s="80"/>
      <c r="X318" s="80"/>
      <c r="Y318" s="80"/>
      <c r="Z318" s="80"/>
    </row>
    <row r="319" spans="1:26" x14ac:dyDescent="0.25">
      <c r="A319" s="80" t="s">
        <v>219</v>
      </c>
      <c r="B319" s="80" t="s">
        <v>213</v>
      </c>
      <c r="C319" s="80" t="s">
        <v>937</v>
      </c>
      <c r="D319" s="80"/>
      <c r="E319" s="80"/>
      <c r="F319" s="80"/>
      <c r="G319" s="80"/>
      <c r="H319" s="80"/>
      <c r="I319" s="80"/>
      <c r="J319" s="80"/>
      <c r="K319" s="80"/>
      <c r="L319" s="80"/>
      <c r="M319" s="80"/>
      <c r="N319" s="80"/>
      <c r="O319" s="80"/>
      <c r="P319" s="80"/>
      <c r="Q319" s="80"/>
      <c r="R319" s="80"/>
      <c r="S319" s="80"/>
      <c r="T319" s="80"/>
      <c r="U319" s="80"/>
      <c r="V319" s="80"/>
      <c r="W319" s="80"/>
      <c r="X319" s="80"/>
      <c r="Y319" s="80"/>
      <c r="Z319" s="80"/>
    </row>
    <row r="320" spans="1:26" x14ac:dyDescent="0.25">
      <c r="A320" s="80" t="s">
        <v>226</v>
      </c>
      <c r="B320" s="80" t="s">
        <v>212</v>
      </c>
      <c r="C320" s="80"/>
      <c r="D320" s="80"/>
      <c r="E320" s="80"/>
      <c r="F320" s="80"/>
      <c r="G320" s="80"/>
      <c r="H320" s="80"/>
      <c r="I320" s="80"/>
      <c r="J320" s="80"/>
      <c r="K320" s="80"/>
      <c r="L320" s="80"/>
      <c r="M320" s="80"/>
      <c r="N320" s="80"/>
      <c r="O320" s="80"/>
      <c r="P320" s="80"/>
      <c r="Q320" s="80"/>
      <c r="R320" s="80"/>
      <c r="S320" s="80"/>
      <c r="T320" s="80"/>
      <c r="U320" s="80"/>
      <c r="V320" s="80"/>
      <c r="W320" s="80"/>
      <c r="X320" s="80"/>
      <c r="Y320" s="80"/>
      <c r="Z320" s="80"/>
    </row>
    <row r="321" spans="1:26" x14ac:dyDescent="0.25">
      <c r="A321" s="80" t="s">
        <v>249</v>
      </c>
      <c r="B321" s="80" t="s">
        <v>72</v>
      </c>
      <c r="C321" s="80"/>
      <c r="D321" s="80"/>
      <c r="E321" s="80"/>
      <c r="F321" s="80"/>
      <c r="G321" s="80"/>
      <c r="H321" s="80"/>
      <c r="I321" s="80"/>
      <c r="J321" s="80"/>
      <c r="K321" s="80"/>
      <c r="L321" s="80"/>
      <c r="M321" s="80"/>
      <c r="N321" s="80"/>
      <c r="O321" s="80"/>
      <c r="P321" s="80"/>
      <c r="Q321" s="80"/>
      <c r="R321" s="80"/>
      <c r="S321" s="80"/>
      <c r="T321" s="80"/>
      <c r="U321" s="80"/>
      <c r="V321" s="80"/>
      <c r="W321" s="80"/>
      <c r="X321" s="80"/>
      <c r="Y321" s="80"/>
      <c r="Z321" s="80"/>
    </row>
    <row r="322" spans="1:26" x14ac:dyDescent="0.25">
      <c r="A322" s="80" t="s">
        <v>234</v>
      </c>
      <c r="B322" s="80" t="s">
        <v>212</v>
      </c>
      <c r="C322" s="80"/>
      <c r="D322" s="80"/>
      <c r="E322" s="80"/>
      <c r="F322" s="80"/>
      <c r="G322" s="80"/>
      <c r="H322" s="80"/>
      <c r="I322" s="80"/>
      <c r="J322" s="80"/>
      <c r="K322" s="80"/>
      <c r="L322" s="80"/>
      <c r="M322" s="80"/>
      <c r="N322" s="80"/>
      <c r="O322" s="80"/>
      <c r="P322" s="80"/>
      <c r="Q322" s="80"/>
      <c r="R322" s="80"/>
      <c r="S322" s="80"/>
      <c r="T322" s="80"/>
      <c r="U322" s="80"/>
      <c r="V322" s="80"/>
      <c r="W322" s="80"/>
      <c r="X322" s="80"/>
      <c r="Y322" s="80"/>
      <c r="Z322" s="80"/>
    </row>
    <row r="323" spans="1:26" x14ac:dyDescent="0.25">
      <c r="A323" s="80" t="s">
        <v>266</v>
      </c>
      <c r="B323" s="80" t="s">
        <v>212</v>
      </c>
      <c r="C323" s="80"/>
      <c r="D323" s="80"/>
      <c r="E323" s="80"/>
      <c r="F323" s="80"/>
      <c r="G323" s="80"/>
      <c r="H323" s="80"/>
      <c r="I323" s="80"/>
      <c r="J323" s="80"/>
      <c r="K323" s="80"/>
      <c r="L323" s="80"/>
      <c r="M323" s="80"/>
      <c r="N323" s="80"/>
      <c r="O323" s="80"/>
      <c r="P323" s="80"/>
      <c r="Q323" s="80"/>
      <c r="R323" s="80"/>
      <c r="S323" s="80"/>
      <c r="T323" s="80"/>
      <c r="U323" s="80"/>
      <c r="V323" s="80"/>
      <c r="W323" s="80"/>
      <c r="X323" s="80"/>
      <c r="Y323" s="80"/>
      <c r="Z323" s="80"/>
    </row>
    <row r="324" spans="1:26" x14ac:dyDescent="0.25">
      <c r="A324" s="80" t="s">
        <v>242</v>
      </c>
      <c r="B324" s="80" t="s">
        <v>212</v>
      </c>
      <c r="C324" s="80"/>
      <c r="D324" s="80"/>
      <c r="E324" s="80"/>
      <c r="F324" s="80"/>
      <c r="G324" s="80"/>
      <c r="H324" s="80"/>
      <c r="I324" s="80"/>
      <c r="J324" s="80"/>
      <c r="K324" s="80"/>
      <c r="L324" s="80"/>
      <c r="M324" s="80"/>
      <c r="N324" s="80"/>
      <c r="O324" s="80"/>
      <c r="P324" s="80"/>
      <c r="Q324" s="80"/>
      <c r="R324" s="80"/>
      <c r="S324" s="80"/>
      <c r="T324" s="80"/>
      <c r="U324" s="80"/>
      <c r="V324" s="80"/>
      <c r="W324" s="80"/>
      <c r="X324" s="80"/>
      <c r="Y324" s="80"/>
      <c r="Z324" s="80"/>
    </row>
    <row r="325" spans="1:26" x14ac:dyDescent="0.25">
      <c r="A325" s="80" t="s">
        <v>258</v>
      </c>
      <c r="B325" s="80" t="s">
        <v>72</v>
      </c>
      <c r="C325" s="80"/>
      <c r="D325" s="80"/>
      <c r="E325" s="80"/>
      <c r="F325" s="80"/>
      <c r="G325" s="80"/>
      <c r="H325" s="80"/>
      <c r="I325" s="80"/>
      <c r="J325" s="80"/>
      <c r="K325" s="80"/>
      <c r="L325" s="80"/>
      <c r="M325" s="80"/>
      <c r="N325" s="80"/>
      <c r="O325" s="80"/>
      <c r="P325" s="80"/>
      <c r="Q325" s="80"/>
      <c r="R325" s="80"/>
      <c r="S325" s="80"/>
      <c r="T325" s="80"/>
      <c r="U325" s="80"/>
      <c r="V325" s="80"/>
      <c r="W325" s="80"/>
      <c r="X325" s="80"/>
      <c r="Y325" s="80"/>
      <c r="Z325" s="80"/>
    </row>
    <row r="326" spans="1:26" x14ac:dyDescent="0.25">
      <c r="A326" s="80" t="s">
        <v>220</v>
      </c>
      <c r="B326" s="80" t="s">
        <v>213</v>
      </c>
      <c r="C326" s="80" t="s">
        <v>937</v>
      </c>
      <c r="D326" s="80"/>
      <c r="E326" s="80"/>
      <c r="F326" s="80"/>
      <c r="G326" s="80"/>
      <c r="H326" s="80"/>
      <c r="I326" s="80"/>
      <c r="J326" s="80"/>
      <c r="K326" s="80"/>
      <c r="L326" s="80"/>
      <c r="M326" s="80"/>
      <c r="N326" s="80"/>
      <c r="O326" s="80"/>
      <c r="P326" s="80"/>
      <c r="Q326" s="80"/>
      <c r="R326" s="80"/>
      <c r="S326" s="80"/>
      <c r="T326" s="80"/>
      <c r="U326" s="80"/>
      <c r="V326" s="80"/>
      <c r="W326" s="80"/>
      <c r="X326" s="80"/>
      <c r="Y326" s="80"/>
      <c r="Z326" s="80"/>
    </row>
    <row r="327" spans="1:26" x14ac:dyDescent="0.25">
      <c r="A327" s="80" t="s">
        <v>227</v>
      </c>
      <c r="B327" s="80" t="s">
        <v>212</v>
      </c>
      <c r="C327" s="80"/>
      <c r="D327" s="80"/>
      <c r="E327" s="80"/>
      <c r="F327" s="80"/>
      <c r="G327" s="80"/>
      <c r="H327" s="80"/>
      <c r="I327" s="80"/>
      <c r="J327" s="80"/>
      <c r="K327" s="80"/>
      <c r="L327" s="80"/>
      <c r="M327" s="80"/>
      <c r="N327" s="80"/>
      <c r="O327" s="80"/>
      <c r="P327" s="80"/>
      <c r="Q327" s="80"/>
      <c r="R327" s="80"/>
      <c r="S327" s="80"/>
      <c r="T327" s="80"/>
      <c r="U327" s="80"/>
      <c r="V327" s="80"/>
      <c r="W327" s="80"/>
      <c r="X327" s="80"/>
      <c r="Y327" s="80"/>
      <c r="Z327" s="80"/>
    </row>
    <row r="328" spans="1:26" x14ac:dyDescent="0.25">
      <c r="A328" s="80" t="s">
        <v>250</v>
      </c>
      <c r="B328" s="80" t="s">
        <v>72</v>
      </c>
      <c r="C328" s="80"/>
      <c r="D328" s="80"/>
      <c r="E328" s="80"/>
      <c r="F328" s="80"/>
      <c r="G328" s="80"/>
      <c r="H328" s="80"/>
      <c r="I328" s="80"/>
      <c r="J328" s="80"/>
      <c r="K328" s="80"/>
      <c r="L328" s="80"/>
      <c r="M328" s="80"/>
      <c r="N328" s="80"/>
      <c r="O328" s="80"/>
      <c r="P328" s="80"/>
      <c r="Q328" s="80"/>
      <c r="R328" s="80"/>
      <c r="S328" s="80"/>
      <c r="T328" s="80"/>
      <c r="U328" s="80"/>
      <c r="V328" s="80"/>
      <c r="W328" s="80"/>
      <c r="X328" s="80"/>
      <c r="Y328" s="80"/>
      <c r="Z328" s="80"/>
    </row>
    <row r="329" spans="1:26" x14ac:dyDescent="0.25">
      <c r="A329" s="80" t="s">
        <v>235</v>
      </c>
      <c r="B329" s="80" t="s">
        <v>212</v>
      </c>
      <c r="C329" s="80"/>
      <c r="D329" s="80"/>
      <c r="E329" s="80"/>
      <c r="F329" s="80"/>
      <c r="G329" s="80"/>
      <c r="H329" s="80"/>
      <c r="I329" s="80"/>
      <c r="J329" s="80"/>
      <c r="K329" s="80"/>
      <c r="L329" s="80"/>
      <c r="M329" s="80"/>
      <c r="N329" s="80"/>
      <c r="O329" s="80"/>
      <c r="P329" s="80"/>
      <c r="Q329" s="80"/>
      <c r="R329" s="80"/>
      <c r="S329" s="80"/>
      <c r="T329" s="80"/>
      <c r="U329" s="80"/>
      <c r="V329" s="80"/>
      <c r="W329" s="80"/>
      <c r="X329" s="80"/>
      <c r="Y329" s="80"/>
      <c r="Z329" s="80"/>
    </row>
    <row r="330" spans="1:26" x14ac:dyDescent="0.25">
      <c r="A330" s="80" t="s">
        <v>267</v>
      </c>
      <c r="B330" s="80" t="s">
        <v>212</v>
      </c>
      <c r="C330" s="80"/>
      <c r="D330" s="80"/>
      <c r="E330" s="80"/>
      <c r="F330" s="80"/>
      <c r="G330" s="80"/>
      <c r="H330" s="80"/>
      <c r="I330" s="80"/>
      <c r="J330" s="80"/>
      <c r="K330" s="80"/>
      <c r="L330" s="80"/>
      <c r="M330" s="80"/>
      <c r="N330" s="80"/>
      <c r="O330" s="80"/>
      <c r="P330" s="80"/>
      <c r="Q330" s="80"/>
      <c r="R330" s="80"/>
      <c r="S330" s="80"/>
      <c r="T330" s="80"/>
      <c r="U330" s="80"/>
      <c r="V330" s="80"/>
      <c r="W330" s="80"/>
      <c r="X330" s="80"/>
      <c r="Y330" s="80"/>
      <c r="Z330" s="80"/>
    </row>
    <row r="331" spans="1:26" x14ac:dyDescent="0.25">
      <c r="A331" s="80" t="s">
        <v>243</v>
      </c>
      <c r="B331" s="80" t="s">
        <v>212</v>
      </c>
      <c r="C331" s="80"/>
      <c r="D331" s="80"/>
      <c r="E331" s="80"/>
      <c r="F331" s="80"/>
      <c r="G331" s="80"/>
      <c r="H331" s="80"/>
      <c r="I331" s="80"/>
      <c r="J331" s="80"/>
      <c r="K331" s="80"/>
      <c r="L331" s="80"/>
      <c r="M331" s="80"/>
      <c r="N331" s="80"/>
      <c r="O331" s="80"/>
      <c r="P331" s="80"/>
      <c r="Q331" s="80"/>
      <c r="R331" s="80"/>
      <c r="S331" s="80"/>
      <c r="T331" s="80"/>
      <c r="U331" s="80"/>
      <c r="V331" s="80"/>
      <c r="W331" s="80"/>
      <c r="X331" s="80"/>
      <c r="Y331" s="80"/>
      <c r="Z331" s="80"/>
    </row>
    <row r="332" spans="1:26" x14ac:dyDescent="0.25">
      <c r="A332" s="80" t="s">
        <v>259</v>
      </c>
      <c r="B332" s="80" t="s">
        <v>72</v>
      </c>
      <c r="C332" s="80"/>
      <c r="D332" s="80"/>
      <c r="E332" s="80"/>
      <c r="F332" s="80"/>
      <c r="G332" s="80"/>
      <c r="H332" s="80"/>
      <c r="I332" s="80"/>
      <c r="J332" s="80"/>
      <c r="K332" s="80"/>
      <c r="L332" s="80"/>
      <c r="M332" s="80"/>
      <c r="N332" s="80"/>
      <c r="O332" s="80"/>
      <c r="P332" s="80"/>
      <c r="Q332" s="80"/>
      <c r="R332" s="80"/>
      <c r="S332" s="80"/>
      <c r="T332" s="80"/>
      <c r="U332" s="80"/>
      <c r="V332" s="80"/>
      <c r="W332" s="80"/>
      <c r="X332" s="80"/>
      <c r="Y332" s="80"/>
      <c r="Z332" s="80"/>
    </row>
    <row r="333" spans="1:26" x14ac:dyDescent="0.25">
      <c r="A333" s="80" t="s">
        <v>221</v>
      </c>
      <c r="B333" s="80" t="s">
        <v>213</v>
      </c>
      <c r="C333" s="80" t="s">
        <v>937</v>
      </c>
      <c r="D333" s="80"/>
      <c r="E333" s="80"/>
      <c r="F333" s="80"/>
      <c r="G333" s="80"/>
      <c r="H333" s="80"/>
      <c r="I333" s="80"/>
      <c r="J333" s="80"/>
      <c r="K333" s="80"/>
      <c r="L333" s="80"/>
      <c r="M333" s="80"/>
      <c r="N333" s="80"/>
      <c r="O333" s="80"/>
      <c r="P333" s="80"/>
      <c r="Q333" s="80"/>
      <c r="R333" s="80"/>
      <c r="S333" s="80"/>
      <c r="T333" s="80"/>
      <c r="U333" s="80"/>
      <c r="V333" s="80"/>
      <c r="W333" s="80"/>
      <c r="X333" s="80"/>
      <c r="Y333" s="80"/>
      <c r="Z333" s="80"/>
    </row>
    <row r="334" spans="1:26" x14ac:dyDescent="0.25">
      <c r="A334" s="80" t="s">
        <v>228</v>
      </c>
      <c r="B334" s="80" t="s">
        <v>212</v>
      </c>
      <c r="C334" s="80"/>
      <c r="D334" s="80"/>
      <c r="E334" s="80"/>
      <c r="F334" s="80"/>
      <c r="G334" s="80"/>
      <c r="H334" s="80"/>
      <c r="I334" s="80"/>
      <c r="J334" s="80"/>
      <c r="K334" s="80"/>
      <c r="L334" s="80"/>
      <c r="M334" s="80"/>
      <c r="N334" s="80"/>
      <c r="O334" s="80"/>
      <c r="P334" s="80"/>
      <c r="Q334" s="80"/>
      <c r="R334" s="80"/>
      <c r="S334" s="80"/>
      <c r="T334" s="80"/>
      <c r="U334" s="80"/>
      <c r="V334" s="80"/>
      <c r="W334" s="80"/>
      <c r="X334" s="80"/>
      <c r="Y334" s="80"/>
      <c r="Z334" s="80"/>
    </row>
    <row r="335" spans="1:26" x14ac:dyDescent="0.25">
      <c r="A335" s="80" t="s">
        <v>251</v>
      </c>
      <c r="B335" s="80" t="s">
        <v>72</v>
      </c>
      <c r="C335" s="80"/>
      <c r="D335" s="80"/>
      <c r="E335" s="80"/>
      <c r="F335" s="80"/>
      <c r="G335" s="80"/>
      <c r="H335" s="80"/>
      <c r="I335" s="80"/>
      <c r="J335" s="80"/>
      <c r="K335" s="80"/>
      <c r="L335" s="80"/>
      <c r="M335" s="80"/>
      <c r="N335" s="80"/>
      <c r="O335" s="80"/>
      <c r="P335" s="80"/>
      <c r="Q335" s="80"/>
      <c r="R335" s="80"/>
      <c r="S335" s="80"/>
      <c r="T335" s="80"/>
      <c r="U335" s="80"/>
      <c r="V335" s="80"/>
      <c r="W335" s="80"/>
      <c r="X335" s="80"/>
      <c r="Y335" s="80"/>
      <c r="Z335" s="80"/>
    </row>
    <row r="336" spans="1:26" x14ac:dyDescent="0.25">
      <c r="A336" s="80" t="s">
        <v>236</v>
      </c>
      <c r="B336" s="80" t="s">
        <v>212</v>
      </c>
      <c r="C336" s="80"/>
      <c r="D336" s="80"/>
      <c r="E336" s="80"/>
      <c r="F336" s="80"/>
      <c r="G336" s="80"/>
      <c r="H336" s="80"/>
      <c r="I336" s="80"/>
      <c r="J336" s="80"/>
      <c r="K336" s="80"/>
      <c r="L336" s="80"/>
      <c r="M336" s="80"/>
      <c r="N336" s="80"/>
      <c r="O336" s="80"/>
      <c r="P336" s="80"/>
      <c r="Q336" s="80"/>
      <c r="R336" s="80"/>
      <c r="S336" s="80"/>
      <c r="T336" s="80"/>
      <c r="U336" s="80"/>
      <c r="V336" s="80"/>
      <c r="W336" s="80"/>
      <c r="X336" s="80"/>
      <c r="Y336" s="80"/>
      <c r="Z336" s="80"/>
    </row>
    <row r="337" spans="1:26" x14ac:dyDescent="0.25">
      <c r="A337" s="80" t="s">
        <v>268</v>
      </c>
      <c r="B337" s="80" t="s">
        <v>212</v>
      </c>
      <c r="C337" s="80"/>
      <c r="D337" s="80"/>
      <c r="E337" s="80"/>
      <c r="F337" s="80"/>
      <c r="G337" s="80"/>
      <c r="H337" s="80"/>
      <c r="I337" s="80"/>
      <c r="J337" s="80"/>
      <c r="K337" s="80"/>
      <c r="L337" s="80"/>
      <c r="M337" s="80"/>
      <c r="N337" s="80"/>
      <c r="O337" s="80"/>
      <c r="P337" s="80"/>
      <c r="Q337" s="80"/>
      <c r="R337" s="80"/>
      <c r="S337" s="80"/>
      <c r="T337" s="80"/>
      <c r="U337" s="80"/>
      <c r="V337" s="80"/>
      <c r="W337" s="80"/>
      <c r="X337" s="80"/>
      <c r="Y337" s="80"/>
      <c r="Z337" s="80"/>
    </row>
    <row r="338" spans="1:26" x14ac:dyDescent="0.25">
      <c r="A338" s="80" t="s">
        <v>244</v>
      </c>
      <c r="B338" s="80" t="s">
        <v>212</v>
      </c>
      <c r="C338" s="80"/>
      <c r="D338" s="80"/>
      <c r="E338" s="80"/>
      <c r="F338" s="80"/>
      <c r="G338" s="80"/>
      <c r="H338" s="80"/>
      <c r="I338" s="80"/>
      <c r="J338" s="80"/>
      <c r="K338" s="80"/>
      <c r="L338" s="80"/>
      <c r="M338" s="80"/>
      <c r="N338" s="80"/>
      <c r="O338" s="80"/>
      <c r="P338" s="80"/>
      <c r="Q338" s="80"/>
      <c r="R338" s="80"/>
      <c r="S338" s="80"/>
      <c r="T338" s="80"/>
      <c r="U338" s="80"/>
      <c r="V338" s="80"/>
      <c r="W338" s="80"/>
      <c r="X338" s="80"/>
      <c r="Y338" s="80"/>
      <c r="Z338" s="80"/>
    </row>
    <row r="339" spans="1:26" x14ac:dyDescent="0.25">
      <c r="A339" s="80" t="s">
        <v>260</v>
      </c>
      <c r="B339" s="80" t="s">
        <v>72</v>
      </c>
      <c r="C339" s="80"/>
      <c r="D339" s="80"/>
      <c r="E339" s="80"/>
      <c r="F339" s="80"/>
      <c r="G339" s="80"/>
      <c r="H339" s="80"/>
      <c r="I339" s="80"/>
      <c r="J339" s="80"/>
      <c r="K339" s="80"/>
      <c r="L339" s="80"/>
      <c r="M339" s="80"/>
      <c r="N339" s="80"/>
      <c r="O339" s="80"/>
      <c r="P339" s="80"/>
      <c r="Q339" s="80"/>
      <c r="R339" s="80"/>
      <c r="S339" s="80"/>
      <c r="T339" s="80"/>
      <c r="U339" s="80"/>
      <c r="V339" s="80"/>
      <c r="W339" s="80"/>
      <c r="X339" s="80"/>
      <c r="Y339" s="80"/>
      <c r="Z339" s="80"/>
    </row>
    <row r="340" spans="1:26" x14ac:dyDescent="0.25">
      <c r="A340" s="80" t="s">
        <v>185</v>
      </c>
      <c r="B340" s="80" t="s">
        <v>213</v>
      </c>
      <c r="C340" s="80" t="s">
        <v>937</v>
      </c>
      <c r="D340" s="80"/>
      <c r="E340" s="80"/>
      <c r="F340" s="80"/>
      <c r="G340" s="80"/>
      <c r="H340" s="80"/>
      <c r="I340" s="80"/>
      <c r="J340" s="80"/>
      <c r="K340" s="80"/>
      <c r="L340" s="80"/>
      <c r="M340" s="80"/>
      <c r="N340" s="80"/>
      <c r="O340" s="80"/>
      <c r="P340" s="80"/>
      <c r="Q340" s="80"/>
      <c r="R340" s="80"/>
      <c r="S340" s="80"/>
      <c r="T340" s="80"/>
      <c r="U340" s="80"/>
      <c r="V340" s="80"/>
      <c r="W340" s="80"/>
      <c r="X340" s="80"/>
      <c r="Y340" s="80"/>
      <c r="Z340" s="80"/>
    </row>
    <row r="341" spans="1:26" x14ac:dyDescent="0.25">
      <c r="A341" s="80" t="s">
        <v>229</v>
      </c>
      <c r="B341" s="80" t="s">
        <v>212</v>
      </c>
      <c r="C341" s="80"/>
      <c r="D341" s="80"/>
      <c r="E341" s="80"/>
      <c r="F341" s="80"/>
      <c r="G341" s="80"/>
      <c r="H341" s="80"/>
      <c r="I341" s="80"/>
      <c r="J341" s="80"/>
      <c r="K341" s="80"/>
      <c r="L341" s="80"/>
      <c r="M341" s="80"/>
      <c r="N341" s="80"/>
      <c r="O341" s="80"/>
      <c r="P341" s="80"/>
      <c r="Q341" s="80"/>
      <c r="R341" s="80"/>
      <c r="S341" s="80"/>
      <c r="T341" s="80"/>
      <c r="U341" s="80"/>
      <c r="V341" s="80"/>
      <c r="W341" s="80"/>
      <c r="X341" s="80"/>
      <c r="Y341" s="80"/>
      <c r="Z341" s="80"/>
    </row>
    <row r="342" spans="1:26" x14ac:dyDescent="0.25">
      <c r="A342" s="80" t="s">
        <v>252</v>
      </c>
      <c r="B342" s="80" t="s">
        <v>72</v>
      </c>
      <c r="C342" s="80"/>
      <c r="D342" s="80"/>
      <c r="E342" s="80"/>
      <c r="F342" s="80"/>
      <c r="G342" s="80"/>
      <c r="H342" s="80"/>
      <c r="I342" s="80"/>
      <c r="J342" s="80"/>
      <c r="K342" s="80"/>
      <c r="L342" s="80"/>
      <c r="M342" s="80"/>
      <c r="N342" s="80"/>
      <c r="O342" s="80"/>
      <c r="P342" s="80"/>
      <c r="Q342" s="80"/>
      <c r="R342" s="80"/>
      <c r="S342" s="80"/>
      <c r="T342" s="80"/>
      <c r="U342" s="80"/>
      <c r="V342" s="80"/>
      <c r="W342" s="80"/>
      <c r="X342" s="80"/>
      <c r="Y342" s="80"/>
      <c r="Z342" s="80"/>
    </row>
    <row r="343" spans="1:26" x14ac:dyDescent="0.25">
      <c r="A343" s="80" t="s">
        <v>237</v>
      </c>
      <c r="B343" s="80" t="s">
        <v>212</v>
      </c>
      <c r="C343" s="80"/>
      <c r="D343" s="80"/>
      <c r="E343" s="80"/>
      <c r="F343" s="80"/>
      <c r="G343" s="80"/>
      <c r="H343" s="80"/>
      <c r="I343" s="80"/>
      <c r="J343" s="80"/>
      <c r="K343" s="80"/>
      <c r="L343" s="80"/>
      <c r="M343" s="80"/>
      <c r="N343" s="80"/>
      <c r="O343" s="80"/>
      <c r="P343" s="80"/>
      <c r="Q343" s="80"/>
      <c r="R343" s="80"/>
      <c r="S343" s="80"/>
      <c r="T343" s="80"/>
      <c r="U343" s="80"/>
      <c r="V343" s="80"/>
      <c r="W343" s="80"/>
      <c r="X343" s="80"/>
      <c r="Y343" s="80"/>
      <c r="Z343" s="80"/>
    </row>
    <row r="344" spans="1:26" x14ac:dyDescent="0.25">
      <c r="A344" s="80" t="s">
        <v>269</v>
      </c>
      <c r="B344" s="80" t="s">
        <v>212</v>
      </c>
      <c r="C344" s="80"/>
      <c r="D344" s="80"/>
      <c r="E344" s="80"/>
      <c r="F344" s="80"/>
      <c r="G344" s="80"/>
      <c r="H344" s="80"/>
      <c r="I344" s="80"/>
      <c r="J344" s="80"/>
      <c r="K344" s="80"/>
      <c r="L344" s="80"/>
      <c r="M344" s="80"/>
      <c r="N344" s="80"/>
      <c r="O344" s="80"/>
      <c r="P344" s="80"/>
      <c r="Q344" s="80"/>
      <c r="R344" s="80"/>
      <c r="S344" s="80"/>
      <c r="T344" s="80"/>
      <c r="U344" s="80"/>
      <c r="V344" s="80"/>
      <c r="W344" s="80"/>
      <c r="X344" s="80"/>
      <c r="Y344" s="80"/>
      <c r="Z344" s="80"/>
    </row>
    <row r="345" spans="1:26" x14ac:dyDescent="0.25">
      <c r="A345" s="80" t="s">
        <v>245</v>
      </c>
      <c r="B345" s="80" t="s">
        <v>212</v>
      </c>
      <c r="C345" s="80"/>
      <c r="D345" s="80"/>
      <c r="E345" s="80"/>
      <c r="F345" s="80"/>
      <c r="G345" s="80"/>
      <c r="H345" s="80"/>
      <c r="I345" s="80"/>
      <c r="J345" s="80"/>
      <c r="K345" s="80"/>
      <c r="L345" s="80"/>
      <c r="M345" s="80"/>
      <c r="N345" s="80"/>
      <c r="O345" s="80"/>
      <c r="P345" s="80"/>
      <c r="Q345" s="80"/>
      <c r="R345" s="80"/>
      <c r="S345" s="80"/>
      <c r="T345" s="80"/>
      <c r="U345" s="80"/>
      <c r="V345" s="80"/>
      <c r="W345" s="80"/>
      <c r="X345" s="80"/>
      <c r="Y345" s="80"/>
      <c r="Z345" s="80"/>
    </row>
    <row r="346" spans="1:26" x14ac:dyDescent="0.25">
      <c r="A346" s="80" t="s">
        <v>261</v>
      </c>
      <c r="B346" s="80" t="s">
        <v>72</v>
      </c>
      <c r="C346" s="80"/>
      <c r="D346" s="80"/>
      <c r="E346" s="80"/>
      <c r="F346" s="80"/>
      <c r="G346" s="80"/>
      <c r="H346" s="80"/>
      <c r="I346" s="80"/>
      <c r="J346" s="80"/>
      <c r="K346" s="80"/>
      <c r="L346" s="80"/>
      <c r="M346" s="80"/>
      <c r="N346" s="80"/>
      <c r="O346" s="80"/>
      <c r="P346" s="80"/>
      <c r="Q346" s="80"/>
      <c r="R346" s="80"/>
      <c r="S346" s="80"/>
      <c r="T346" s="80"/>
      <c r="U346" s="80"/>
      <c r="V346" s="80"/>
      <c r="W346" s="80"/>
      <c r="X346" s="80"/>
      <c r="Y346" s="80"/>
      <c r="Z346" s="80"/>
    </row>
    <row r="347" spans="1:26" x14ac:dyDescent="0.25">
      <c r="A347" s="80" t="s">
        <v>222</v>
      </c>
      <c r="B347" s="80" t="s">
        <v>213</v>
      </c>
      <c r="C347" s="80" t="s">
        <v>937</v>
      </c>
      <c r="D347" s="80"/>
      <c r="E347" s="80"/>
      <c r="F347" s="80"/>
      <c r="G347" s="80"/>
      <c r="H347" s="80"/>
      <c r="I347" s="80"/>
      <c r="J347" s="80"/>
      <c r="K347" s="80"/>
      <c r="L347" s="80"/>
      <c r="M347" s="80"/>
      <c r="N347" s="80"/>
      <c r="O347" s="80"/>
      <c r="P347" s="80"/>
      <c r="Q347" s="80"/>
      <c r="R347" s="80"/>
      <c r="S347" s="80"/>
      <c r="T347" s="80"/>
      <c r="U347" s="80"/>
      <c r="V347" s="80"/>
      <c r="W347" s="80"/>
      <c r="X347" s="80"/>
      <c r="Y347" s="80"/>
      <c r="Z347" s="80"/>
    </row>
    <row r="348" spans="1:26" x14ac:dyDescent="0.25">
      <c r="A348" s="80" t="s">
        <v>230</v>
      </c>
      <c r="B348" s="80" t="s">
        <v>212</v>
      </c>
      <c r="C348" s="80"/>
      <c r="D348" s="80"/>
      <c r="E348" s="80"/>
      <c r="F348" s="80"/>
      <c r="G348" s="80"/>
      <c r="H348" s="80"/>
      <c r="I348" s="80"/>
      <c r="J348" s="80"/>
      <c r="K348" s="80"/>
      <c r="L348" s="80"/>
      <c r="M348" s="80"/>
      <c r="N348" s="80"/>
      <c r="O348" s="80"/>
      <c r="P348" s="80"/>
      <c r="Q348" s="80"/>
      <c r="R348" s="80"/>
      <c r="S348" s="80"/>
      <c r="T348" s="80"/>
      <c r="U348" s="80"/>
      <c r="V348" s="80"/>
      <c r="W348" s="80"/>
      <c r="X348" s="80"/>
      <c r="Y348" s="80"/>
      <c r="Z348" s="80"/>
    </row>
    <row r="349" spans="1:26" x14ac:dyDescent="0.25">
      <c r="A349" s="80" t="s">
        <v>253</v>
      </c>
      <c r="B349" s="80" t="s">
        <v>72</v>
      </c>
      <c r="C349" s="80"/>
      <c r="D349" s="80"/>
      <c r="E349" s="80"/>
      <c r="F349" s="80"/>
      <c r="G349" s="80"/>
      <c r="H349" s="80"/>
      <c r="I349" s="80"/>
      <c r="J349" s="80"/>
      <c r="K349" s="80"/>
      <c r="L349" s="80"/>
      <c r="M349" s="80"/>
      <c r="N349" s="80"/>
      <c r="O349" s="80"/>
      <c r="P349" s="80"/>
      <c r="Q349" s="80"/>
      <c r="R349" s="80"/>
      <c r="S349" s="80"/>
      <c r="T349" s="80"/>
      <c r="U349" s="80"/>
      <c r="V349" s="80"/>
      <c r="W349" s="80"/>
      <c r="X349" s="80"/>
      <c r="Y349" s="80"/>
      <c r="Z349" s="80"/>
    </row>
    <row r="350" spans="1:26" x14ac:dyDescent="0.25">
      <c r="A350" s="80" t="s">
        <v>238</v>
      </c>
      <c r="B350" s="80" t="s">
        <v>212</v>
      </c>
      <c r="C350" s="80"/>
      <c r="D350" s="80"/>
      <c r="E350" s="80"/>
      <c r="F350" s="80"/>
      <c r="G350" s="80"/>
      <c r="H350" s="80"/>
      <c r="I350" s="80"/>
      <c r="J350" s="80"/>
      <c r="K350" s="80"/>
      <c r="L350" s="80"/>
      <c r="M350" s="80"/>
      <c r="N350" s="80"/>
      <c r="O350" s="80"/>
      <c r="P350" s="80"/>
      <c r="Q350" s="80"/>
      <c r="R350" s="80"/>
      <c r="S350" s="80"/>
      <c r="T350" s="80"/>
      <c r="U350" s="80"/>
      <c r="V350" s="80"/>
      <c r="W350" s="80"/>
      <c r="X350" s="80"/>
      <c r="Y350" s="80"/>
      <c r="Z350" s="80"/>
    </row>
    <row r="351" spans="1:26" x14ac:dyDescent="0.25">
      <c r="A351" s="80" t="s">
        <v>203</v>
      </c>
      <c r="B351" s="80" t="s">
        <v>212</v>
      </c>
      <c r="C351" s="80"/>
      <c r="D351" s="80"/>
      <c r="E351" s="80"/>
      <c r="F351" s="80"/>
      <c r="G351" s="80"/>
      <c r="H351" s="80"/>
      <c r="I351" s="80"/>
      <c r="J351" s="80"/>
      <c r="K351" s="80"/>
      <c r="L351" s="80"/>
      <c r="M351" s="80"/>
      <c r="N351" s="80"/>
      <c r="O351" s="80"/>
      <c r="P351" s="80"/>
      <c r="Q351" s="80"/>
      <c r="R351" s="80"/>
      <c r="S351" s="80"/>
      <c r="T351" s="80"/>
      <c r="U351" s="80"/>
      <c r="V351" s="80"/>
      <c r="W351" s="80"/>
      <c r="X351" s="80"/>
      <c r="Y351" s="80"/>
      <c r="Z351" s="80"/>
    </row>
    <row r="352" spans="1:26" x14ac:dyDescent="0.25">
      <c r="A352" s="80" t="s">
        <v>209</v>
      </c>
      <c r="B352" s="80" t="s">
        <v>212</v>
      </c>
      <c r="C352" s="80"/>
      <c r="D352" s="80"/>
      <c r="E352" s="80"/>
      <c r="F352" s="80"/>
      <c r="G352" s="80"/>
      <c r="H352" s="80"/>
      <c r="I352" s="80"/>
      <c r="J352" s="80"/>
      <c r="K352" s="80"/>
      <c r="L352" s="80"/>
      <c r="M352" s="80"/>
      <c r="N352" s="80"/>
      <c r="O352" s="80"/>
      <c r="P352" s="80"/>
      <c r="Q352" s="80"/>
      <c r="R352" s="80"/>
      <c r="S352" s="80"/>
      <c r="T352" s="80"/>
      <c r="U352" s="80"/>
      <c r="V352" s="80"/>
      <c r="W352" s="80"/>
      <c r="X352" s="80"/>
      <c r="Y352" s="80"/>
      <c r="Z352" s="80"/>
    </row>
    <row r="353" spans="1:26" x14ac:dyDescent="0.25">
      <c r="A353" s="80" t="s">
        <v>270</v>
      </c>
      <c r="B353" s="80" t="s">
        <v>212</v>
      </c>
      <c r="C353" s="80"/>
      <c r="D353" s="80"/>
      <c r="E353" s="80"/>
      <c r="F353" s="80"/>
      <c r="G353" s="80"/>
      <c r="H353" s="80"/>
      <c r="I353" s="80"/>
      <c r="J353" s="80"/>
      <c r="K353" s="80"/>
      <c r="L353" s="80"/>
      <c r="M353" s="80"/>
      <c r="N353" s="80"/>
      <c r="O353" s="80"/>
      <c r="P353" s="80"/>
      <c r="Q353" s="80"/>
      <c r="R353" s="80"/>
      <c r="S353" s="80"/>
      <c r="T353" s="80"/>
      <c r="U353" s="80"/>
      <c r="V353" s="80"/>
      <c r="W353" s="80"/>
      <c r="X353" s="80"/>
      <c r="Y353" s="80"/>
      <c r="Z353" s="80"/>
    </row>
    <row r="354" spans="1:26" x14ac:dyDescent="0.25">
      <c r="A354" s="80" t="s">
        <v>246</v>
      </c>
      <c r="B354" s="80" t="s">
        <v>212</v>
      </c>
      <c r="C354" s="80"/>
      <c r="D354" s="80"/>
      <c r="E354" s="80"/>
      <c r="F354" s="80"/>
      <c r="G354" s="80"/>
      <c r="H354" s="80"/>
      <c r="I354" s="80"/>
      <c r="J354" s="80"/>
      <c r="K354" s="80"/>
      <c r="L354" s="80"/>
      <c r="M354" s="80"/>
      <c r="N354" s="80"/>
      <c r="O354" s="80"/>
      <c r="P354" s="80"/>
      <c r="Q354" s="80"/>
      <c r="R354" s="80"/>
      <c r="S354" s="80"/>
      <c r="T354" s="80"/>
      <c r="U354" s="80"/>
      <c r="V354" s="80"/>
      <c r="W354" s="80"/>
      <c r="X354" s="80"/>
      <c r="Y354" s="80"/>
      <c r="Z354" s="80"/>
    </row>
    <row r="355" spans="1:26" x14ac:dyDescent="0.25">
      <c r="A355" s="80" t="s">
        <v>262</v>
      </c>
      <c r="B355" s="80" t="s">
        <v>72</v>
      </c>
      <c r="C355" s="80"/>
      <c r="D355" s="80"/>
      <c r="E355" s="80"/>
      <c r="F355" s="80"/>
      <c r="G355" s="80"/>
      <c r="H355" s="80"/>
      <c r="I355" s="80"/>
      <c r="J355" s="80"/>
      <c r="K355" s="80"/>
      <c r="L355" s="80"/>
      <c r="M355" s="80"/>
      <c r="N355" s="80"/>
      <c r="O355" s="80"/>
      <c r="P355" s="80"/>
      <c r="Q355" s="80"/>
      <c r="R355" s="80"/>
      <c r="S355" s="80"/>
      <c r="T355" s="80"/>
      <c r="U355" s="80"/>
      <c r="V355" s="80"/>
      <c r="W355" s="80"/>
      <c r="X355" s="80"/>
      <c r="Y355" s="80"/>
      <c r="Z355" s="80"/>
    </row>
    <row r="356" spans="1:26" x14ac:dyDescent="0.25">
      <c r="A356" s="80" t="s">
        <v>223</v>
      </c>
      <c r="B356" s="80" t="s">
        <v>213</v>
      </c>
      <c r="C356" s="80" t="s">
        <v>937</v>
      </c>
      <c r="D356" s="80"/>
      <c r="E356" s="80"/>
      <c r="F356" s="80"/>
      <c r="G356" s="80"/>
      <c r="H356" s="80"/>
      <c r="I356" s="80"/>
      <c r="J356" s="80"/>
      <c r="K356" s="80"/>
      <c r="L356" s="80"/>
      <c r="M356" s="80"/>
      <c r="N356" s="80"/>
      <c r="O356" s="80"/>
      <c r="P356" s="80"/>
      <c r="Q356" s="80"/>
      <c r="R356" s="80"/>
      <c r="S356" s="80"/>
      <c r="T356" s="80"/>
      <c r="U356" s="80"/>
      <c r="V356" s="80"/>
      <c r="W356" s="80"/>
      <c r="X356" s="80"/>
      <c r="Y356" s="80"/>
      <c r="Z356" s="80"/>
    </row>
    <row r="357" spans="1:26" x14ac:dyDescent="0.25">
      <c r="A357" s="80" t="s">
        <v>231</v>
      </c>
      <c r="B357" s="80" t="s">
        <v>212</v>
      </c>
      <c r="C357" s="80"/>
      <c r="D357" s="80"/>
      <c r="E357" s="80"/>
      <c r="F357" s="80"/>
      <c r="G357" s="80"/>
      <c r="H357" s="80"/>
      <c r="I357" s="80"/>
      <c r="J357" s="80"/>
      <c r="K357" s="80"/>
      <c r="L357" s="80"/>
      <c r="M357" s="80"/>
      <c r="N357" s="80"/>
      <c r="O357" s="80"/>
      <c r="P357" s="80"/>
      <c r="Q357" s="80"/>
      <c r="R357" s="80"/>
      <c r="S357" s="80"/>
      <c r="T357" s="80"/>
      <c r="U357" s="80"/>
      <c r="V357" s="80"/>
      <c r="W357" s="80"/>
      <c r="X357" s="80"/>
      <c r="Y357" s="80"/>
      <c r="Z357" s="80"/>
    </row>
    <row r="358" spans="1:26" x14ac:dyDescent="0.25">
      <c r="A358" s="80" t="s">
        <v>254</v>
      </c>
      <c r="B358" s="80" t="s">
        <v>72</v>
      </c>
      <c r="C358" s="80"/>
      <c r="D358" s="80"/>
      <c r="E358" s="80"/>
      <c r="F358" s="80"/>
      <c r="G358" s="80"/>
      <c r="H358" s="80"/>
      <c r="I358" s="80"/>
      <c r="J358" s="80"/>
      <c r="K358" s="80"/>
      <c r="L358" s="80"/>
      <c r="M358" s="80"/>
      <c r="N358" s="80"/>
      <c r="O358" s="80"/>
      <c r="P358" s="80"/>
      <c r="Q358" s="80"/>
      <c r="R358" s="80"/>
      <c r="S358" s="80"/>
      <c r="T358" s="80"/>
      <c r="U358" s="80"/>
      <c r="V358" s="80"/>
      <c r="W358" s="80"/>
      <c r="X358" s="80"/>
      <c r="Y358" s="80"/>
      <c r="Z358" s="80"/>
    </row>
    <row r="359" spans="1:26" x14ac:dyDescent="0.25">
      <c r="A359" s="80" t="s">
        <v>239</v>
      </c>
      <c r="B359" s="80" t="s">
        <v>212</v>
      </c>
      <c r="C359" s="80"/>
      <c r="D359" s="80"/>
      <c r="E359" s="80"/>
      <c r="F359" s="80"/>
      <c r="G359" s="80"/>
      <c r="H359" s="80"/>
      <c r="I359" s="80"/>
      <c r="J359" s="80"/>
      <c r="K359" s="80"/>
      <c r="L359" s="80"/>
      <c r="M359" s="80"/>
      <c r="N359" s="80"/>
      <c r="O359" s="80"/>
      <c r="P359" s="80"/>
      <c r="Q359" s="80"/>
      <c r="R359" s="80"/>
      <c r="S359" s="80"/>
      <c r="T359" s="80"/>
      <c r="U359" s="80"/>
      <c r="V359" s="80"/>
      <c r="W359" s="80"/>
      <c r="X359" s="80"/>
      <c r="Y359" s="80"/>
      <c r="Z359" s="80"/>
    </row>
    <row r="360" spans="1:26" x14ac:dyDescent="0.25">
      <c r="A360" s="80" t="s">
        <v>271</v>
      </c>
      <c r="B360" s="80" t="s">
        <v>212</v>
      </c>
      <c r="C360" s="80"/>
      <c r="D360" s="80"/>
      <c r="E360" s="80"/>
      <c r="F360" s="80"/>
      <c r="G360" s="80"/>
      <c r="H360" s="80"/>
      <c r="I360" s="80"/>
      <c r="J360" s="80"/>
      <c r="K360" s="80"/>
      <c r="L360" s="80"/>
      <c r="M360" s="80"/>
      <c r="N360" s="80"/>
      <c r="O360" s="80"/>
      <c r="P360" s="80"/>
      <c r="Q360" s="80"/>
      <c r="R360" s="80"/>
      <c r="S360" s="80"/>
      <c r="T360" s="80"/>
      <c r="U360" s="80"/>
      <c r="V360" s="80"/>
      <c r="W360" s="80"/>
      <c r="X360" s="80"/>
      <c r="Y360" s="80"/>
      <c r="Z360" s="80"/>
    </row>
    <row r="361" spans="1:26" x14ac:dyDescent="0.25">
      <c r="A361" s="80" t="s">
        <v>247</v>
      </c>
      <c r="B361" s="80" t="s">
        <v>212</v>
      </c>
      <c r="C361" s="80"/>
      <c r="D361" s="80"/>
      <c r="E361" s="80"/>
      <c r="F361" s="80"/>
      <c r="G361" s="80"/>
      <c r="H361" s="80"/>
      <c r="I361" s="80"/>
      <c r="J361" s="80"/>
      <c r="K361" s="80"/>
      <c r="L361" s="80"/>
      <c r="M361" s="80"/>
      <c r="N361" s="80"/>
      <c r="O361" s="80"/>
      <c r="P361" s="80"/>
      <c r="Q361" s="80"/>
      <c r="R361" s="80"/>
      <c r="S361" s="80"/>
      <c r="T361" s="80"/>
      <c r="U361" s="80"/>
      <c r="V361" s="80"/>
      <c r="W361" s="80"/>
      <c r="X361" s="80"/>
      <c r="Y361" s="80"/>
      <c r="Z361" s="80"/>
    </row>
    <row r="362" spans="1:26" x14ac:dyDescent="0.25">
      <c r="A362" s="80" t="s">
        <v>263</v>
      </c>
      <c r="B362" s="80" t="s">
        <v>72</v>
      </c>
      <c r="C362" s="80"/>
      <c r="D362" s="80"/>
      <c r="E362" s="80"/>
      <c r="F362" s="80"/>
      <c r="G362" s="80"/>
      <c r="H362" s="80"/>
      <c r="I362" s="80"/>
      <c r="J362" s="80"/>
      <c r="K362" s="80"/>
      <c r="L362" s="80"/>
      <c r="M362" s="80"/>
      <c r="N362" s="80"/>
      <c r="O362" s="80"/>
      <c r="P362" s="80"/>
      <c r="Q362" s="80"/>
      <c r="R362" s="80"/>
      <c r="S362" s="80"/>
      <c r="T362" s="80"/>
      <c r="U362" s="80"/>
      <c r="V362" s="80"/>
      <c r="W362" s="80"/>
      <c r="X362" s="80"/>
      <c r="Y362" s="80"/>
      <c r="Z362" s="80"/>
    </row>
    <row r="363" spans="1:26" x14ac:dyDescent="0.25">
      <c r="A363" s="80" t="s">
        <v>224</v>
      </c>
      <c r="B363" s="80" t="s">
        <v>213</v>
      </c>
      <c r="C363" s="80" t="s">
        <v>937</v>
      </c>
      <c r="D363" s="80"/>
      <c r="E363" s="80"/>
      <c r="F363" s="80"/>
      <c r="G363" s="80"/>
      <c r="H363" s="80"/>
      <c r="I363" s="80"/>
      <c r="J363" s="80"/>
      <c r="K363" s="80"/>
      <c r="L363" s="80"/>
      <c r="M363" s="80"/>
      <c r="N363" s="80"/>
      <c r="O363" s="80"/>
      <c r="P363" s="80"/>
      <c r="Q363" s="80"/>
      <c r="R363" s="80"/>
      <c r="S363" s="80"/>
      <c r="T363" s="80"/>
      <c r="U363" s="80"/>
      <c r="V363" s="80"/>
      <c r="W363" s="80"/>
      <c r="X363" s="80"/>
      <c r="Y363" s="80"/>
      <c r="Z363" s="80"/>
    </row>
    <row r="364" spans="1:26" x14ac:dyDescent="0.25">
      <c r="A364" s="80" t="s">
        <v>232</v>
      </c>
      <c r="B364" s="80" t="s">
        <v>212</v>
      </c>
      <c r="C364" s="80"/>
      <c r="D364" s="80"/>
      <c r="E364" s="80"/>
      <c r="F364" s="80"/>
      <c r="G364" s="80"/>
      <c r="H364" s="80"/>
      <c r="I364" s="80"/>
      <c r="J364" s="80"/>
      <c r="K364" s="80"/>
      <c r="L364" s="80"/>
      <c r="M364" s="80"/>
      <c r="N364" s="80"/>
      <c r="O364" s="80"/>
      <c r="P364" s="80"/>
      <c r="Q364" s="80"/>
      <c r="R364" s="80"/>
      <c r="S364" s="80"/>
      <c r="T364" s="80"/>
      <c r="U364" s="80"/>
      <c r="V364" s="80"/>
      <c r="W364" s="80"/>
      <c r="X364" s="80"/>
      <c r="Y364" s="80"/>
      <c r="Z364" s="80"/>
    </row>
    <row r="365" spans="1:26" x14ac:dyDescent="0.25">
      <c r="A365" s="80" t="s">
        <v>255</v>
      </c>
      <c r="B365" s="80" t="s">
        <v>72</v>
      </c>
      <c r="C365" s="80"/>
      <c r="D365" s="80"/>
      <c r="E365" s="80"/>
      <c r="F365" s="80"/>
      <c r="G365" s="80"/>
      <c r="H365" s="80"/>
      <c r="I365" s="80"/>
      <c r="J365" s="80"/>
      <c r="K365" s="80"/>
      <c r="L365" s="80"/>
      <c r="M365" s="80"/>
      <c r="N365" s="80"/>
      <c r="O365" s="80"/>
      <c r="P365" s="80"/>
      <c r="Q365" s="80"/>
      <c r="R365" s="80"/>
      <c r="S365" s="80"/>
      <c r="T365" s="80"/>
      <c r="U365" s="80"/>
      <c r="V365" s="80"/>
      <c r="W365" s="80"/>
      <c r="X365" s="80"/>
      <c r="Y365" s="80"/>
      <c r="Z365" s="80"/>
    </row>
    <row r="366" spans="1:26" x14ac:dyDescent="0.25">
      <c r="A366" s="80" t="s">
        <v>255</v>
      </c>
      <c r="B366" s="80" t="s">
        <v>72</v>
      </c>
      <c r="C366" s="80"/>
      <c r="D366" s="80"/>
      <c r="E366" s="80"/>
      <c r="F366" s="80"/>
      <c r="G366" s="80"/>
      <c r="H366" s="80"/>
      <c r="I366" s="80"/>
      <c r="J366" s="80"/>
      <c r="K366" s="80"/>
      <c r="L366" s="80"/>
      <c r="M366" s="80"/>
      <c r="N366" s="80"/>
      <c r="O366" s="80"/>
      <c r="P366" s="80"/>
      <c r="Q366" s="80"/>
      <c r="R366" s="80"/>
      <c r="S366" s="80"/>
      <c r="T366" s="80"/>
      <c r="U366" s="80"/>
      <c r="V366" s="80"/>
      <c r="W366" s="80"/>
      <c r="X366" s="80"/>
      <c r="Y366" s="80"/>
      <c r="Z366" s="80"/>
    </row>
    <row r="367" spans="1:26" x14ac:dyDescent="0.25">
      <c r="A367" s="80" t="s">
        <v>196</v>
      </c>
      <c r="B367" s="80" t="s">
        <v>212</v>
      </c>
      <c r="C367" s="80" t="s">
        <v>915</v>
      </c>
      <c r="D367" s="80"/>
      <c r="E367" s="80"/>
      <c r="F367" s="80"/>
      <c r="G367" s="80"/>
      <c r="H367" s="80"/>
      <c r="I367" s="80"/>
      <c r="J367" s="80"/>
      <c r="K367" s="80"/>
      <c r="L367" s="80"/>
      <c r="M367" s="80"/>
      <c r="N367" s="80"/>
      <c r="O367" s="80"/>
      <c r="P367" s="80"/>
      <c r="Q367" s="80"/>
      <c r="R367" s="80"/>
      <c r="S367" s="80"/>
      <c r="T367" s="80"/>
      <c r="U367" s="80"/>
      <c r="V367" s="80"/>
      <c r="W367" s="80"/>
      <c r="X367" s="80"/>
      <c r="Y367" s="80"/>
      <c r="Z367" s="80"/>
    </row>
    <row r="368" spans="1:26" x14ac:dyDescent="0.25">
      <c r="A368" s="80" t="s">
        <v>195</v>
      </c>
      <c r="B368" s="80" t="s">
        <v>212</v>
      </c>
      <c r="C368" s="80" t="s">
        <v>915</v>
      </c>
      <c r="D368" s="80"/>
      <c r="E368" s="80"/>
      <c r="F368" s="80"/>
      <c r="G368" s="80"/>
      <c r="H368" s="80"/>
      <c r="I368" s="80"/>
      <c r="J368" s="80"/>
      <c r="K368" s="80"/>
      <c r="L368" s="80"/>
      <c r="M368" s="80"/>
      <c r="N368" s="80"/>
      <c r="O368" s="80"/>
      <c r="P368" s="80"/>
      <c r="Q368" s="80"/>
      <c r="R368" s="80"/>
      <c r="S368" s="80"/>
      <c r="T368" s="80"/>
      <c r="U368" s="80"/>
      <c r="V368" s="80"/>
      <c r="W368" s="80"/>
      <c r="X368" s="80"/>
      <c r="Y368" s="80"/>
      <c r="Z368" s="80"/>
    </row>
    <row r="369" spans="1:26" x14ac:dyDescent="0.25">
      <c r="A369" s="80" t="s">
        <v>976</v>
      </c>
      <c r="B369" s="80" t="s">
        <v>212</v>
      </c>
      <c r="C369" s="80" t="s">
        <v>915</v>
      </c>
      <c r="D369" s="80"/>
      <c r="E369" s="80"/>
      <c r="F369" s="80"/>
      <c r="G369" s="80"/>
      <c r="H369" s="80"/>
      <c r="I369" s="80"/>
      <c r="J369" s="80"/>
      <c r="K369" s="80"/>
      <c r="L369" s="80"/>
      <c r="M369" s="80"/>
      <c r="N369" s="80"/>
      <c r="O369" s="80"/>
      <c r="P369" s="80"/>
      <c r="Q369" s="80"/>
      <c r="R369" s="80"/>
      <c r="S369" s="80"/>
      <c r="T369" s="80"/>
      <c r="U369" s="80"/>
      <c r="V369" s="80"/>
      <c r="W369" s="80"/>
      <c r="X369" s="80"/>
      <c r="Y369" s="80"/>
      <c r="Z369" s="80"/>
    </row>
    <row r="370" spans="1:26" x14ac:dyDescent="0.25">
      <c r="A370" s="80" t="s">
        <v>197</v>
      </c>
      <c r="B370" s="80" t="s">
        <v>212</v>
      </c>
      <c r="C370" s="80" t="s">
        <v>915</v>
      </c>
      <c r="D370" s="80"/>
      <c r="E370" s="80"/>
      <c r="F370" s="80"/>
      <c r="G370" s="80"/>
      <c r="H370" s="80"/>
      <c r="I370" s="80"/>
      <c r="J370" s="80"/>
      <c r="K370" s="80"/>
      <c r="L370" s="80"/>
      <c r="M370" s="80"/>
      <c r="N370" s="80"/>
      <c r="O370" s="80"/>
      <c r="P370" s="80"/>
      <c r="Q370" s="80"/>
      <c r="R370" s="80"/>
      <c r="S370" s="80"/>
      <c r="T370" s="80"/>
      <c r="U370" s="80"/>
      <c r="V370" s="80"/>
      <c r="W370" s="80"/>
      <c r="X370" s="80"/>
      <c r="Y370" s="80"/>
      <c r="Z370" s="80"/>
    </row>
    <row r="371" spans="1:26" x14ac:dyDescent="0.25">
      <c r="A371" s="80" t="s">
        <v>966</v>
      </c>
      <c r="B371" s="80" t="s">
        <v>212</v>
      </c>
      <c r="C371" s="80" t="s">
        <v>915</v>
      </c>
      <c r="D371" s="80"/>
      <c r="E371" s="80"/>
      <c r="F371" s="80"/>
      <c r="G371" s="80"/>
      <c r="H371" s="80"/>
      <c r="I371" s="80"/>
      <c r="J371" s="80"/>
      <c r="K371" s="80"/>
      <c r="L371" s="80"/>
      <c r="M371" s="80"/>
      <c r="N371" s="80"/>
      <c r="O371" s="80"/>
      <c r="P371" s="80"/>
      <c r="Q371" s="80"/>
      <c r="R371" s="80"/>
      <c r="S371" s="80"/>
      <c r="T371" s="80"/>
      <c r="U371" s="80"/>
      <c r="V371" s="80"/>
      <c r="W371" s="80"/>
      <c r="X371" s="80"/>
      <c r="Y371" s="80"/>
      <c r="Z371" s="80"/>
    </row>
    <row r="372" spans="1:26" x14ac:dyDescent="0.25">
      <c r="A372" s="80" t="s">
        <v>1540</v>
      </c>
      <c r="B372" s="80" t="s">
        <v>212</v>
      </c>
      <c r="C372" s="80" t="s">
        <v>915</v>
      </c>
      <c r="D372" s="80"/>
      <c r="E372" s="80"/>
      <c r="F372" s="80"/>
      <c r="G372" s="80"/>
      <c r="H372" s="80"/>
      <c r="I372" s="80"/>
      <c r="J372" s="80"/>
      <c r="K372" s="80"/>
      <c r="L372" s="80"/>
      <c r="M372" s="80"/>
      <c r="N372" s="80"/>
      <c r="O372" s="80"/>
      <c r="P372" s="80"/>
      <c r="Q372" s="80"/>
      <c r="R372" s="80"/>
      <c r="S372" s="80"/>
      <c r="T372" s="80"/>
      <c r="U372" s="80"/>
      <c r="V372" s="80"/>
      <c r="W372" s="80"/>
      <c r="X372" s="80"/>
      <c r="Y372" s="80"/>
      <c r="Z372" s="80"/>
    </row>
    <row r="373" spans="1:26" x14ac:dyDescent="0.25">
      <c r="A373" s="80" t="s">
        <v>188</v>
      </c>
      <c r="B373" s="80" t="s">
        <v>213</v>
      </c>
      <c r="C373" s="80"/>
      <c r="D373" s="80"/>
      <c r="E373" s="80"/>
      <c r="F373" s="80"/>
      <c r="G373" s="80"/>
      <c r="H373" s="80"/>
      <c r="I373" s="80"/>
      <c r="J373" s="80"/>
      <c r="K373" s="80"/>
      <c r="L373" s="80"/>
      <c r="M373" s="80"/>
      <c r="N373" s="80"/>
      <c r="O373" s="80"/>
      <c r="P373" s="80"/>
      <c r="Q373" s="80"/>
      <c r="R373" s="80"/>
      <c r="S373" s="80"/>
      <c r="T373" s="80"/>
      <c r="U373" s="80"/>
      <c r="V373" s="80"/>
      <c r="W373" s="80"/>
      <c r="X373" s="80"/>
      <c r="Y373" s="80"/>
      <c r="Z373" s="80"/>
    </row>
    <row r="374" spans="1:26" x14ac:dyDescent="0.25">
      <c r="A374" s="80" t="s">
        <v>190</v>
      </c>
      <c r="B374" s="80" t="s">
        <v>213</v>
      </c>
      <c r="C374" s="80"/>
      <c r="D374" s="80"/>
      <c r="E374" s="80"/>
      <c r="F374" s="80"/>
      <c r="G374" s="80"/>
      <c r="H374" s="80"/>
      <c r="I374" s="80"/>
      <c r="J374" s="80"/>
      <c r="K374" s="80"/>
      <c r="L374" s="80"/>
      <c r="M374" s="80"/>
      <c r="N374" s="80"/>
      <c r="O374" s="80"/>
      <c r="P374" s="80"/>
      <c r="Q374" s="80"/>
      <c r="R374" s="80"/>
      <c r="S374" s="80"/>
      <c r="T374" s="80"/>
      <c r="U374" s="80"/>
      <c r="V374" s="80"/>
      <c r="W374" s="80"/>
      <c r="X374" s="80"/>
      <c r="Y374" s="80"/>
      <c r="Z374" s="80"/>
    </row>
    <row r="375" spans="1:26" x14ac:dyDescent="0.25">
      <c r="A375" s="80" t="s">
        <v>194</v>
      </c>
      <c r="B375" s="80" t="s">
        <v>213</v>
      </c>
      <c r="C375" s="80"/>
      <c r="D375" s="80"/>
      <c r="E375" s="80"/>
      <c r="F375" s="80"/>
      <c r="G375" s="80"/>
      <c r="H375" s="80"/>
      <c r="I375" s="80"/>
      <c r="J375" s="80"/>
      <c r="K375" s="80"/>
      <c r="L375" s="80"/>
      <c r="M375" s="80"/>
      <c r="N375" s="80"/>
      <c r="O375" s="80"/>
      <c r="P375" s="80"/>
      <c r="Q375" s="80"/>
      <c r="R375" s="80"/>
      <c r="S375" s="80"/>
      <c r="T375" s="80"/>
      <c r="U375" s="80"/>
      <c r="V375" s="80"/>
      <c r="W375" s="80"/>
      <c r="X375" s="80"/>
      <c r="Y375" s="80"/>
      <c r="Z375" s="80"/>
    </row>
    <row r="376" spans="1:26" x14ac:dyDescent="0.25">
      <c r="A376" s="80" t="s">
        <v>192</v>
      </c>
      <c r="B376" s="80" t="s">
        <v>72</v>
      </c>
      <c r="C376" s="80"/>
      <c r="D376" s="80"/>
      <c r="E376" s="80"/>
      <c r="F376" s="80"/>
      <c r="G376" s="80"/>
      <c r="H376" s="80"/>
      <c r="I376" s="80"/>
      <c r="J376" s="80"/>
      <c r="K376" s="80"/>
      <c r="L376" s="80"/>
      <c r="M376" s="80"/>
      <c r="N376" s="80"/>
      <c r="O376" s="80"/>
      <c r="P376" s="80"/>
      <c r="Q376" s="80"/>
      <c r="R376" s="80"/>
      <c r="S376" s="80"/>
      <c r="T376" s="80"/>
      <c r="U376" s="80"/>
      <c r="V376" s="80"/>
      <c r="W376" s="80"/>
      <c r="X376" s="80"/>
      <c r="Y376" s="80"/>
      <c r="Z376" s="80"/>
    </row>
    <row r="377" spans="1:26" x14ac:dyDescent="0.25">
      <c r="A377" s="80" t="s">
        <v>1198</v>
      </c>
      <c r="B377" s="80" t="s">
        <v>72</v>
      </c>
      <c r="C377" s="80"/>
      <c r="D377" s="80"/>
      <c r="E377" s="80"/>
      <c r="F377" s="80"/>
      <c r="G377" s="80"/>
      <c r="H377" s="80"/>
      <c r="I377" s="80"/>
      <c r="J377" s="80"/>
      <c r="K377" s="80"/>
      <c r="L377" s="80"/>
      <c r="M377" s="80"/>
      <c r="N377" s="80"/>
      <c r="O377" s="80"/>
      <c r="P377" s="80"/>
      <c r="Q377" s="80"/>
      <c r="R377" s="80"/>
      <c r="S377" s="80"/>
      <c r="T377" s="80"/>
      <c r="U377" s="80"/>
      <c r="V377" s="80"/>
      <c r="W377" s="80"/>
      <c r="X377" s="80"/>
      <c r="Y377" s="80"/>
      <c r="Z377" s="80"/>
    </row>
    <row r="378" spans="1:26" x14ac:dyDescent="0.25">
      <c r="A378" s="80" t="s">
        <v>1181</v>
      </c>
      <c r="B378" s="80" t="s">
        <v>288</v>
      </c>
      <c r="C378" s="80"/>
      <c r="D378" s="80"/>
      <c r="E378" s="80"/>
      <c r="F378" s="80"/>
      <c r="G378" s="80"/>
      <c r="H378" s="80"/>
      <c r="I378" s="80"/>
      <c r="J378" s="80"/>
      <c r="K378" s="80"/>
      <c r="L378" s="80"/>
      <c r="M378" s="80"/>
      <c r="N378" s="80"/>
      <c r="O378" s="80"/>
      <c r="P378" s="80"/>
      <c r="Q378" s="80"/>
      <c r="R378" s="80"/>
      <c r="S378" s="80"/>
      <c r="T378" s="80"/>
      <c r="U378" s="80"/>
      <c r="V378" s="80"/>
      <c r="W378" s="80"/>
      <c r="X378" s="80"/>
      <c r="Y378" s="80"/>
      <c r="Z378" s="80"/>
    </row>
    <row r="379" spans="1:26" x14ac:dyDescent="0.25">
      <c r="A379" s="80" t="s">
        <v>215</v>
      </c>
      <c r="B379" s="80" t="s">
        <v>217</v>
      </c>
      <c r="C379" s="80" t="s">
        <v>937</v>
      </c>
      <c r="D379" s="80"/>
      <c r="E379" s="80"/>
      <c r="F379" s="80"/>
      <c r="G379" s="80"/>
      <c r="H379" s="80"/>
      <c r="I379" s="80"/>
      <c r="J379" s="80"/>
      <c r="K379" s="80"/>
      <c r="L379" s="80"/>
      <c r="M379" s="80"/>
      <c r="N379" s="80"/>
      <c r="O379" s="80"/>
      <c r="P379" s="80"/>
      <c r="Q379" s="80"/>
      <c r="R379" s="80"/>
      <c r="S379" s="80"/>
      <c r="T379" s="80"/>
      <c r="U379" s="80"/>
      <c r="V379" s="80"/>
      <c r="W379" s="80"/>
      <c r="X379" s="80"/>
      <c r="Y379" s="80"/>
      <c r="Z379" s="80"/>
    </row>
    <row r="380" spans="1:26" x14ac:dyDescent="0.25">
      <c r="A380" s="80" t="s">
        <v>1158</v>
      </c>
      <c r="B380" s="80" t="s">
        <v>217</v>
      </c>
      <c r="C380" s="80" t="s">
        <v>937</v>
      </c>
      <c r="D380" s="80"/>
      <c r="E380" s="80"/>
      <c r="F380" s="80"/>
      <c r="G380" s="80"/>
      <c r="H380" s="80"/>
      <c r="I380" s="80"/>
      <c r="J380" s="80"/>
      <c r="K380" s="80"/>
      <c r="L380" s="80"/>
      <c r="M380" s="80"/>
      <c r="N380" s="80"/>
      <c r="O380" s="80"/>
      <c r="P380" s="80"/>
      <c r="Q380" s="80"/>
      <c r="R380" s="80"/>
      <c r="S380" s="80"/>
      <c r="T380" s="80"/>
      <c r="U380" s="80"/>
      <c r="V380" s="80"/>
      <c r="W380" s="80"/>
      <c r="X380" s="80"/>
      <c r="Y380" s="80"/>
      <c r="Z380" s="80"/>
    </row>
    <row r="381" spans="1:26" x14ac:dyDescent="0.25">
      <c r="A381" s="80" t="s">
        <v>1146</v>
      </c>
      <c r="B381" s="80" t="s">
        <v>217</v>
      </c>
      <c r="C381" s="80" t="s">
        <v>937</v>
      </c>
      <c r="D381" s="80"/>
      <c r="E381" s="80"/>
      <c r="F381" s="80"/>
      <c r="G381" s="80"/>
      <c r="H381" s="80"/>
      <c r="I381" s="80"/>
      <c r="J381" s="80"/>
      <c r="K381" s="80"/>
      <c r="L381" s="80"/>
      <c r="M381" s="80"/>
      <c r="N381" s="80"/>
      <c r="O381" s="80"/>
      <c r="P381" s="80"/>
      <c r="Q381" s="80"/>
      <c r="R381" s="80"/>
      <c r="S381" s="80"/>
      <c r="T381" s="80"/>
      <c r="U381" s="80"/>
      <c r="V381" s="80"/>
      <c r="W381" s="80"/>
      <c r="X381" s="80"/>
      <c r="Y381" s="80"/>
      <c r="Z381" s="80"/>
    </row>
    <row r="382" spans="1:26" x14ac:dyDescent="0.25">
      <c r="A382" s="80" t="s">
        <v>1119</v>
      </c>
      <c r="B382" s="80" t="s">
        <v>217</v>
      </c>
      <c r="C382" s="80" t="s">
        <v>937</v>
      </c>
      <c r="D382" s="80"/>
      <c r="E382" s="80"/>
      <c r="F382" s="80"/>
      <c r="G382" s="80"/>
      <c r="H382" s="80"/>
      <c r="I382" s="80"/>
      <c r="J382" s="80"/>
      <c r="K382" s="80"/>
      <c r="L382" s="80"/>
      <c r="M382" s="80"/>
      <c r="N382" s="80"/>
      <c r="O382" s="80"/>
      <c r="P382" s="80"/>
      <c r="Q382" s="80"/>
      <c r="R382" s="80"/>
      <c r="S382" s="80"/>
      <c r="T382" s="80"/>
      <c r="U382" s="80"/>
      <c r="V382" s="80"/>
      <c r="W382" s="80"/>
      <c r="X382" s="80"/>
      <c r="Y382" s="80"/>
      <c r="Z382" s="80"/>
    </row>
    <row r="383" spans="1:26" x14ac:dyDescent="0.25">
      <c r="A383" s="80" t="s">
        <v>216</v>
      </c>
      <c r="B383" s="80" t="s">
        <v>217</v>
      </c>
      <c r="C383" s="80" t="s">
        <v>937</v>
      </c>
      <c r="D383" s="80"/>
      <c r="E383" s="80"/>
      <c r="F383" s="80"/>
      <c r="G383" s="80"/>
      <c r="H383" s="80"/>
      <c r="I383" s="80"/>
      <c r="J383" s="80"/>
      <c r="K383" s="80"/>
      <c r="L383" s="80"/>
      <c r="M383" s="80"/>
      <c r="N383" s="80"/>
      <c r="O383" s="80"/>
      <c r="P383" s="80"/>
      <c r="Q383" s="80"/>
      <c r="R383" s="80"/>
      <c r="S383" s="80"/>
      <c r="T383" s="80"/>
      <c r="U383" s="80"/>
      <c r="V383" s="80"/>
      <c r="W383" s="80"/>
      <c r="X383" s="80"/>
      <c r="Y383" s="80"/>
      <c r="Z383" s="80"/>
    </row>
    <row r="384" spans="1:26" x14ac:dyDescent="0.25">
      <c r="A384" s="80" t="s">
        <v>216</v>
      </c>
      <c r="B384" s="80" t="s">
        <v>217</v>
      </c>
      <c r="C384" s="80" t="s">
        <v>937</v>
      </c>
      <c r="D384" s="80"/>
      <c r="E384" s="80"/>
      <c r="F384" s="80"/>
      <c r="G384" s="80"/>
      <c r="H384" s="80"/>
      <c r="I384" s="80"/>
      <c r="J384" s="80"/>
      <c r="K384" s="80"/>
      <c r="L384" s="80"/>
      <c r="M384" s="80"/>
      <c r="N384" s="80"/>
      <c r="O384" s="80"/>
      <c r="P384" s="80"/>
      <c r="Q384" s="80"/>
      <c r="R384" s="80"/>
      <c r="S384" s="80"/>
      <c r="T384" s="80"/>
      <c r="U384" s="80"/>
      <c r="V384" s="80"/>
      <c r="W384" s="80"/>
      <c r="X384" s="80"/>
      <c r="Y384" s="80"/>
      <c r="Z384" s="80"/>
    </row>
    <row r="385" spans="1:26" x14ac:dyDescent="0.25">
      <c r="A385" s="80"/>
      <c r="B385" s="80"/>
      <c r="C385" s="80"/>
      <c r="D385" s="80"/>
      <c r="E385" s="80"/>
      <c r="F385" s="80"/>
      <c r="G385" s="80"/>
      <c r="H385" s="80"/>
      <c r="I385" s="80"/>
      <c r="J385" s="80"/>
      <c r="K385" s="80"/>
      <c r="L385" s="80"/>
      <c r="M385" s="80"/>
      <c r="N385" s="80"/>
      <c r="O385" s="80"/>
      <c r="P385" s="80"/>
      <c r="Q385" s="80"/>
      <c r="R385" s="80"/>
      <c r="S385" s="80"/>
      <c r="T385" s="80"/>
      <c r="U385" s="80"/>
      <c r="V385" s="80"/>
      <c r="W385" s="80"/>
      <c r="X385" s="80"/>
      <c r="Y385" s="80"/>
      <c r="Z385" s="80"/>
    </row>
    <row r="386" spans="1:26" x14ac:dyDescent="0.25">
      <c r="A386" s="80"/>
      <c r="B386" s="80"/>
      <c r="C386" s="80"/>
      <c r="D386" s="80"/>
      <c r="E386" s="80"/>
      <c r="F386" s="80"/>
      <c r="G386" s="80"/>
      <c r="H386" s="80"/>
      <c r="I386" s="80"/>
      <c r="J386" s="80"/>
      <c r="K386" s="80"/>
      <c r="L386" s="80"/>
      <c r="M386" s="80"/>
      <c r="N386" s="80"/>
      <c r="O386" s="80"/>
      <c r="P386" s="80"/>
      <c r="Q386" s="80"/>
      <c r="R386" s="80"/>
      <c r="S386" s="80"/>
      <c r="T386" s="80"/>
      <c r="U386" s="80"/>
      <c r="V386" s="80"/>
      <c r="W386" s="80"/>
      <c r="X386" s="80"/>
      <c r="Y386" s="80"/>
      <c r="Z386" s="80"/>
    </row>
    <row r="387" spans="1:26" x14ac:dyDescent="0.25">
      <c r="A387" s="80"/>
      <c r="B387" s="80"/>
      <c r="C387" s="80"/>
      <c r="D387" s="80"/>
      <c r="E387" s="80"/>
      <c r="F387" s="80"/>
      <c r="G387" s="80"/>
      <c r="H387" s="80"/>
      <c r="I387" s="80"/>
      <c r="J387" s="80"/>
      <c r="K387" s="80"/>
      <c r="L387" s="80"/>
      <c r="M387" s="80"/>
      <c r="N387" s="80"/>
      <c r="O387" s="80"/>
      <c r="P387" s="80"/>
      <c r="Q387" s="80"/>
      <c r="R387" s="80"/>
      <c r="S387" s="80"/>
      <c r="T387" s="80"/>
      <c r="U387" s="80"/>
      <c r="V387" s="80"/>
      <c r="W387" s="80"/>
      <c r="X387" s="80"/>
      <c r="Y387" s="80"/>
      <c r="Z387" s="80"/>
    </row>
    <row r="388" spans="1:26" x14ac:dyDescent="0.25">
      <c r="A388" s="80"/>
      <c r="B388" s="80"/>
      <c r="C388" s="80"/>
      <c r="D388" s="80"/>
      <c r="E388" s="80"/>
      <c r="F388" s="80"/>
      <c r="G388" s="80"/>
      <c r="H388" s="80"/>
      <c r="I388" s="80"/>
      <c r="J388" s="80"/>
      <c r="K388" s="80"/>
      <c r="L388" s="80"/>
      <c r="M388" s="80"/>
      <c r="N388" s="80"/>
      <c r="O388" s="80"/>
      <c r="P388" s="80"/>
      <c r="Q388" s="80"/>
      <c r="R388" s="80"/>
      <c r="S388" s="80"/>
      <c r="T388" s="80"/>
      <c r="U388" s="80"/>
      <c r="V388" s="80"/>
      <c r="W388" s="80"/>
      <c r="X388" s="80"/>
      <c r="Y388" s="80"/>
      <c r="Z388" s="80"/>
    </row>
    <row r="389" spans="1:26" x14ac:dyDescent="0.25">
      <c r="A389" s="80"/>
      <c r="B389" s="80"/>
      <c r="C389" s="80"/>
      <c r="D389" s="80"/>
      <c r="E389" s="80"/>
      <c r="F389" s="80"/>
      <c r="G389" s="80"/>
      <c r="H389" s="80"/>
      <c r="I389" s="80"/>
      <c r="J389" s="80"/>
      <c r="K389" s="80"/>
      <c r="L389" s="80"/>
      <c r="M389" s="80"/>
      <c r="N389" s="80"/>
      <c r="O389" s="80"/>
      <c r="P389" s="80"/>
      <c r="Q389" s="80"/>
      <c r="R389" s="80"/>
      <c r="S389" s="80"/>
      <c r="T389" s="80"/>
      <c r="U389" s="80"/>
      <c r="V389" s="80"/>
      <c r="W389" s="80"/>
      <c r="X389" s="80"/>
      <c r="Y389" s="80"/>
      <c r="Z389" s="80"/>
    </row>
    <row r="390" spans="1:26" x14ac:dyDescent="0.25">
      <c r="A390" s="80"/>
      <c r="B390" s="80"/>
      <c r="C390" s="80"/>
      <c r="D390" s="80"/>
      <c r="E390" s="80"/>
      <c r="F390" s="80"/>
      <c r="G390" s="80"/>
      <c r="H390" s="80"/>
      <c r="I390" s="80"/>
      <c r="J390" s="80"/>
      <c r="K390" s="80"/>
      <c r="L390" s="80"/>
      <c r="M390" s="80"/>
      <c r="N390" s="80"/>
      <c r="O390" s="80"/>
      <c r="P390" s="80"/>
      <c r="Q390" s="80"/>
      <c r="R390" s="80"/>
      <c r="S390" s="80"/>
      <c r="T390" s="80"/>
      <c r="U390" s="80"/>
      <c r="V390" s="80"/>
      <c r="W390" s="80"/>
      <c r="X390" s="80"/>
      <c r="Y390" s="80"/>
      <c r="Z390" s="80"/>
    </row>
    <row r="391" spans="1:26" x14ac:dyDescent="0.25">
      <c r="A391" s="80"/>
      <c r="B391" s="80"/>
      <c r="C391" s="80"/>
      <c r="D391" s="80"/>
      <c r="E391" s="80"/>
      <c r="F391" s="80"/>
      <c r="G391" s="80"/>
      <c r="H391" s="80"/>
      <c r="I391" s="80"/>
      <c r="J391" s="80"/>
      <c r="K391" s="80"/>
      <c r="L391" s="80"/>
      <c r="M391" s="80"/>
      <c r="N391" s="80"/>
      <c r="O391" s="80"/>
      <c r="P391" s="80"/>
      <c r="Q391" s="80"/>
      <c r="R391" s="80"/>
      <c r="S391" s="80"/>
      <c r="T391" s="80"/>
      <c r="U391" s="80"/>
      <c r="V391" s="80"/>
      <c r="W391" s="80"/>
      <c r="X391" s="80"/>
      <c r="Y391" s="80"/>
      <c r="Z391" s="80"/>
    </row>
    <row r="392" spans="1:26" x14ac:dyDescent="0.25">
      <c r="A392" s="80"/>
      <c r="B392" s="80"/>
      <c r="C392" s="80"/>
      <c r="D392" s="80"/>
      <c r="E392" s="80"/>
      <c r="F392" s="80"/>
      <c r="G392" s="80"/>
      <c r="H392" s="80"/>
      <c r="I392" s="80"/>
      <c r="J392" s="80"/>
      <c r="K392" s="80"/>
      <c r="L392" s="80"/>
      <c r="M392" s="80"/>
      <c r="N392" s="80"/>
      <c r="O392" s="80"/>
      <c r="P392" s="80"/>
      <c r="Q392" s="80"/>
      <c r="R392" s="80"/>
      <c r="S392" s="80"/>
      <c r="T392" s="80"/>
      <c r="U392" s="80"/>
      <c r="V392" s="80"/>
      <c r="W392" s="80"/>
      <c r="X392" s="80"/>
      <c r="Y392" s="80"/>
      <c r="Z392" s="80"/>
    </row>
    <row r="393" spans="1:26" x14ac:dyDescent="0.25">
      <c r="A393" s="80"/>
      <c r="B393" s="80"/>
      <c r="C393" s="80"/>
      <c r="D393" s="80"/>
      <c r="E393" s="80"/>
      <c r="F393" s="80"/>
      <c r="G393" s="80"/>
      <c r="H393" s="80"/>
      <c r="I393" s="80"/>
      <c r="J393" s="80"/>
      <c r="K393" s="80"/>
      <c r="L393" s="80"/>
      <c r="M393" s="80"/>
      <c r="N393" s="80"/>
      <c r="O393" s="80"/>
      <c r="P393" s="80"/>
      <c r="Q393" s="80"/>
      <c r="R393" s="80"/>
      <c r="S393" s="80"/>
      <c r="T393" s="80"/>
      <c r="U393" s="80"/>
      <c r="V393" s="80"/>
      <c r="W393" s="80"/>
      <c r="X393" s="80"/>
      <c r="Y393" s="80"/>
      <c r="Z393" s="80"/>
    </row>
    <row r="394" spans="1:26" x14ac:dyDescent="0.25">
      <c r="A394" s="80"/>
      <c r="B394" s="80"/>
      <c r="C394" s="80"/>
      <c r="D394" s="80"/>
      <c r="E394" s="80"/>
      <c r="F394" s="80"/>
      <c r="G394" s="80"/>
      <c r="H394" s="80"/>
      <c r="I394" s="80"/>
      <c r="J394" s="80"/>
      <c r="K394" s="80"/>
      <c r="L394" s="80"/>
      <c r="M394" s="80"/>
      <c r="N394" s="80"/>
      <c r="O394" s="80"/>
      <c r="P394" s="80"/>
      <c r="Q394" s="80"/>
      <c r="R394" s="80"/>
      <c r="S394" s="80"/>
      <c r="T394" s="80"/>
      <c r="U394" s="80"/>
      <c r="V394" s="80"/>
      <c r="W394" s="80"/>
      <c r="X394" s="80"/>
      <c r="Y394" s="80"/>
      <c r="Z394" s="80"/>
    </row>
    <row r="395" spans="1:26" x14ac:dyDescent="0.25">
      <c r="A395" s="80"/>
      <c r="B395" s="80"/>
      <c r="C395" s="80"/>
      <c r="D395" s="80"/>
      <c r="E395" s="80"/>
      <c r="F395" s="80"/>
      <c r="G395" s="80"/>
      <c r="H395" s="80"/>
      <c r="I395" s="80"/>
      <c r="J395" s="80"/>
      <c r="K395" s="80"/>
      <c r="L395" s="80"/>
      <c r="M395" s="80"/>
      <c r="N395" s="80"/>
      <c r="O395" s="80"/>
      <c r="P395" s="80"/>
      <c r="Q395" s="80"/>
      <c r="R395" s="80"/>
      <c r="S395" s="80"/>
      <c r="T395" s="80"/>
      <c r="U395" s="80"/>
      <c r="V395" s="80"/>
      <c r="W395" s="80"/>
      <c r="X395" s="80"/>
      <c r="Y395" s="80"/>
      <c r="Z395" s="80"/>
    </row>
    <row r="396" spans="1:26" x14ac:dyDescent="0.25">
      <c r="A396" s="80"/>
      <c r="B396" s="80"/>
      <c r="C396" s="80"/>
      <c r="D396" s="80"/>
      <c r="E396" s="80"/>
      <c r="F396" s="80"/>
      <c r="G396" s="80"/>
      <c r="H396" s="80"/>
      <c r="I396" s="80"/>
      <c r="J396" s="80"/>
      <c r="K396" s="80"/>
      <c r="L396" s="80"/>
      <c r="M396" s="80"/>
      <c r="N396" s="80"/>
      <c r="O396" s="80"/>
      <c r="P396" s="80"/>
      <c r="Q396" s="80"/>
      <c r="R396" s="80"/>
      <c r="S396" s="80"/>
      <c r="T396" s="80"/>
      <c r="U396" s="80"/>
      <c r="V396" s="80"/>
      <c r="W396" s="80"/>
      <c r="X396" s="80"/>
      <c r="Y396" s="80"/>
      <c r="Z396" s="80"/>
    </row>
    <row r="397" spans="1:26" x14ac:dyDescent="0.25">
      <c r="A397" s="80"/>
      <c r="B397" s="80"/>
      <c r="C397" s="80"/>
      <c r="D397" s="80"/>
      <c r="E397" s="80"/>
      <c r="F397" s="80"/>
      <c r="G397" s="80"/>
      <c r="H397" s="80"/>
      <c r="I397" s="80"/>
      <c r="J397" s="80"/>
      <c r="K397" s="80"/>
      <c r="L397" s="80"/>
      <c r="M397" s="80"/>
      <c r="N397" s="80"/>
      <c r="O397" s="80"/>
      <c r="P397" s="80"/>
      <c r="Q397" s="80"/>
      <c r="R397" s="80"/>
      <c r="S397" s="80"/>
      <c r="T397" s="80"/>
      <c r="U397" s="80"/>
      <c r="V397" s="80"/>
      <c r="W397" s="80"/>
      <c r="X397" s="80"/>
      <c r="Y397" s="80"/>
      <c r="Z397" s="80"/>
    </row>
    <row r="398" spans="1:26" x14ac:dyDescent="0.25">
      <c r="A398" s="80"/>
      <c r="B398" s="80"/>
      <c r="C398" s="80"/>
      <c r="D398" s="80"/>
      <c r="E398" s="80"/>
      <c r="F398" s="80"/>
      <c r="G398" s="80"/>
      <c r="H398" s="80"/>
      <c r="I398" s="80"/>
      <c r="J398" s="80"/>
      <c r="K398" s="80"/>
      <c r="L398" s="80"/>
      <c r="M398" s="80"/>
      <c r="N398" s="80"/>
      <c r="O398" s="80"/>
      <c r="P398" s="80"/>
      <c r="Q398" s="80"/>
      <c r="R398" s="80"/>
      <c r="S398" s="80"/>
      <c r="T398" s="80"/>
      <c r="U398" s="80"/>
      <c r="V398" s="80"/>
      <c r="W398" s="80"/>
      <c r="X398" s="80"/>
      <c r="Y398" s="80"/>
      <c r="Z398" s="80"/>
    </row>
    <row r="399" spans="1:26" x14ac:dyDescent="0.25">
      <c r="A399" s="80"/>
      <c r="B399" s="80"/>
      <c r="C399" s="80"/>
      <c r="D399" s="80"/>
      <c r="E399" s="80"/>
      <c r="F399" s="80"/>
      <c r="G399" s="80"/>
      <c r="H399" s="80"/>
      <c r="I399" s="80"/>
      <c r="J399" s="80"/>
      <c r="K399" s="80"/>
      <c r="L399" s="80"/>
      <c r="M399" s="80"/>
      <c r="N399" s="80"/>
      <c r="O399" s="80"/>
      <c r="P399" s="80"/>
      <c r="Q399" s="80"/>
      <c r="R399" s="80"/>
      <c r="S399" s="80"/>
      <c r="T399" s="80"/>
      <c r="U399" s="80"/>
      <c r="V399" s="80"/>
      <c r="W399" s="80"/>
      <c r="X399" s="80"/>
      <c r="Y399" s="80"/>
      <c r="Z399" s="80"/>
    </row>
    <row r="400" spans="1:26" x14ac:dyDescent="0.25">
      <c r="A400" s="80"/>
      <c r="B400" s="80"/>
      <c r="C400" s="80"/>
      <c r="D400" s="80"/>
      <c r="E400" s="80"/>
      <c r="F400" s="80"/>
      <c r="G400" s="80"/>
      <c r="H400" s="80"/>
      <c r="I400" s="80"/>
      <c r="J400" s="80"/>
      <c r="K400" s="80"/>
      <c r="L400" s="80"/>
      <c r="M400" s="80"/>
      <c r="N400" s="80"/>
      <c r="O400" s="80"/>
      <c r="P400" s="80"/>
      <c r="Q400" s="80"/>
      <c r="R400" s="80"/>
      <c r="S400" s="80"/>
      <c r="T400" s="80"/>
      <c r="U400" s="80"/>
      <c r="V400" s="80"/>
      <c r="W400" s="80"/>
      <c r="X400" s="80"/>
      <c r="Y400" s="80"/>
      <c r="Z400" s="80"/>
    </row>
    <row r="401" spans="1:26" x14ac:dyDescent="0.25">
      <c r="A401" s="80"/>
      <c r="B401" s="80"/>
      <c r="C401" s="80"/>
      <c r="D401" s="80"/>
      <c r="E401" s="80"/>
      <c r="F401" s="80"/>
      <c r="G401" s="80"/>
      <c r="H401" s="80"/>
      <c r="I401" s="80"/>
      <c r="J401" s="80"/>
      <c r="K401" s="80"/>
      <c r="L401" s="80"/>
      <c r="M401" s="80"/>
      <c r="N401" s="80"/>
      <c r="O401" s="80"/>
      <c r="P401" s="80"/>
      <c r="Q401" s="80"/>
      <c r="R401" s="80"/>
      <c r="S401" s="80"/>
      <c r="T401" s="80"/>
      <c r="U401" s="80"/>
      <c r="V401" s="80"/>
      <c r="W401" s="80"/>
      <c r="X401" s="80"/>
      <c r="Y401" s="80"/>
      <c r="Z401" s="80"/>
    </row>
    <row r="402" spans="1:26" x14ac:dyDescent="0.25">
      <c r="A402" s="80"/>
      <c r="B402" s="80"/>
      <c r="C402" s="80"/>
      <c r="D402" s="80"/>
      <c r="E402" s="80"/>
      <c r="F402" s="80"/>
      <c r="G402" s="80"/>
      <c r="H402" s="80"/>
      <c r="I402" s="80"/>
      <c r="J402" s="80"/>
      <c r="K402" s="80"/>
      <c r="L402" s="80"/>
      <c r="M402" s="80"/>
      <c r="N402" s="80"/>
      <c r="O402" s="80"/>
      <c r="P402" s="80"/>
      <c r="Q402" s="80"/>
      <c r="R402" s="80"/>
      <c r="S402" s="80"/>
      <c r="T402" s="80"/>
      <c r="U402" s="80"/>
      <c r="V402" s="80"/>
      <c r="W402" s="80"/>
      <c r="X402" s="80"/>
      <c r="Y402" s="80"/>
      <c r="Z402" s="80"/>
    </row>
    <row r="403" spans="1:26" x14ac:dyDescent="0.25">
      <c r="A403" s="80"/>
      <c r="B403" s="80"/>
      <c r="C403" s="80"/>
      <c r="D403" s="80"/>
      <c r="E403" s="80"/>
      <c r="F403" s="80"/>
      <c r="G403" s="80"/>
      <c r="H403" s="80"/>
      <c r="I403" s="80"/>
      <c r="J403" s="80"/>
      <c r="K403" s="80"/>
      <c r="L403" s="80"/>
      <c r="M403" s="80"/>
      <c r="N403" s="80"/>
      <c r="O403" s="80"/>
      <c r="P403" s="80"/>
      <c r="Q403" s="80"/>
      <c r="R403" s="80"/>
      <c r="S403" s="80"/>
      <c r="T403" s="80"/>
      <c r="U403" s="80"/>
      <c r="V403" s="80"/>
      <c r="W403" s="80"/>
      <c r="X403" s="80"/>
      <c r="Y403" s="80"/>
      <c r="Z403" s="80"/>
    </row>
    <row r="404" spans="1:26" x14ac:dyDescent="0.25">
      <c r="A404" s="80"/>
      <c r="B404" s="80"/>
      <c r="C404" s="80"/>
      <c r="D404" s="80"/>
      <c r="E404" s="80"/>
      <c r="F404" s="80"/>
      <c r="G404" s="80"/>
      <c r="H404" s="80"/>
      <c r="I404" s="80"/>
      <c r="J404" s="80"/>
      <c r="K404" s="80"/>
      <c r="L404" s="80"/>
      <c r="M404" s="80"/>
      <c r="N404" s="80"/>
      <c r="O404" s="80"/>
      <c r="P404" s="80"/>
      <c r="Q404" s="80"/>
      <c r="R404" s="80"/>
      <c r="S404" s="80"/>
      <c r="T404" s="80"/>
      <c r="U404" s="80"/>
      <c r="V404" s="80"/>
      <c r="W404" s="80"/>
      <c r="X404" s="80"/>
      <c r="Y404" s="80"/>
      <c r="Z404" s="80"/>
    </row>
    <row r="405" spans="1:26" x14ac:dyDescent="0.25">
      <c r="A405" s="80"/>
      <c r="B405" s="80"/>
      <c r="C405" s="80"/>
      <c r="D405" s="80"/>
      <c r="E405" s="80"/>
      <c r="F405" s="80"/>
      <c r="G405" s="80"/>
      <c r="H405" s="80"/>
      <c r="I405" s="80"/>
      <c r="J405" s="80"/>
      <c r="K405" s="80"/>
      <c r="L405" s="80"/>
      <c r="M405" s="80"/>
      <c r="N405" s="80"/>
      <c r="O405" s="80"/>
      <c r="P405" s="80"/>
      <c r="Q405" s="80"/>
      <c r="R405" s="80"/>
      <c r="S405" s="80"/>
      <c r="T405" s="80"/>
      <c r="U405" s="80"/>
      <c r="V405" s="80"/>
      <c r="W405" s="80"/>
      <c r="X405" s="80"/>
      <c r="Y405" s="80"/>
      <c r="Z405" s="80"/>
    </row>
    <row r="406" spans="1:26" x14ac:dyDescent="0.25">
      <c r="A406" s="80"/>
      <c r="B406" s="80"/>
      <c r="C406" s="80"/>
      <c r="D406" s="80"/>
      <c r="E406" s="80"/>
      <c r="F406" s="80"/>
      <c r="G406" s="80"/>
      <c r="H406" s="80"/>
      <c r="I406" s="80"/>
      <c r="J406" s="80"/>
      <c r="K406" s="80"/>
      <c r="L406" s="80"/>
      <c r="M406" s="80"/>
      <c r="N406" s="80"/>
      <c r="O406" s="80"/>
      <c r="P406" s="80"/>
      <c r="Q406" s="80"/>
      <c r="R406" s="80"/>
      <c r="S406" s="80"/>
      <c r="T406" s="80"/>
      <c r="U406" s="80"/>
      <c r="V406" s="80"/>
      <c r="W406" s="80"/>
      <c r="X406" s="80"/>
      <c r="Y406" s="80"/>
      <c r="Z406" s="80"/>
    </row>
    <row r="407" spans="1:26" x14ac:dyDescent="0.25">
      <c r="A407" s="80"/>
      <c r="B407" s="80"/>
      <c r="C407" s="80"/>
      <c r="D407" s="80"/>
      <c r="E407" s="80"/>
      <c r="F407" s="80"/>
      <c r="G407" s="80"/>
      <c r="H407" s="80"/>
      <c r="I407" s="80"/>
      <c r="J407" s="80"/>
      <c r="K407" s="80"/>
      <c r="L407" s="80"/>
      <c r="M407" s="80"/>
      <c r="N407" s="80"/>
      <c r="O407" s="80"/>
      <c r="P407" s="80"/>
      <c r="Q407" s="80"/>
      <c r="R407" s="80"/>
      <c r="S407" s="80"/>
      <c r="T407" s="80"/>
      <c r="U407" s="80"/>
      <c r="V407" s="80"/>
      <c r="W407" s="80"/>
      <c r="X407" s="80"/>
      <c r="Y407" s="80"/>
      <c r="Z407" s="80"/>
    </row>
    <row r="408" spans="1:26" x14ac:dyDescent="0.25">
      <c r="A408" s="80"/>
      <c r="B408" s="80"/>
      <c r="C408" s="80"/>
      <c r="D408" s="80"/>
      <c r="E408" s="80"/>
      <c r="F408" s="80"/>
      <c r="G408" s="80"/>
      <c r="H408" s="80"/>
      <c r="I408" s="80"/>
      <c r="J408" s="80"/>
      <c r="K408" s="80"/>
      <c r="L408" s="80"/>
      <c r="M408" s="80"/>
      <c r="N408" s="80"/>
      <c r="O408" s="80"/>
      <c r="P408" s="80"/>
      <c r="Q408" s="80"/>
      <c r="R408" s="80"/>
      <c r="S408" s="80"/>
      <c r="T408" s="80"/>
      <c r="U408" s="80"/>
      <c r="V408" s="80"/>
      <c r="W408" s="80"/>
      <c r="X408" s="80"/>
      <c r="Y408" s="80"/>
      <c r="Z408" s="80"/>
    </row>
    <row r="409" spans="1:26" x14ac:dyDescent="0.25">
      <c r="A409" s="80"/>
      <c r="B409" s="80"/>
      <c r="C409" s="80"/>
      <c r="D409" s="80"/>
      <c r="E409" s="80"/>
      <c r="F409" s="80"/>
      <c r="G409" s="80"/>
      <c r="H409" s="80"/>
      <c r="I409" s="80"/>
      <c r="J409" s="80"/>
      <c r="K409" s="80"/>
      <c r="L409" s="80"/>
      <c r="M409" s="80"/>
      <c r="N409" s="80"/>
      <c r="O409" s="80"/>
      <c r="P409" s="80"/>
      <c r="Q409" s="80"/>
      <c r="R409" s="80"/>
      <c r="S409" s="80"/>
      <c r="T409" s="80"/>
      <c r="U409" s="80"/>
      <c r="V409" s="80"/>
      <c r="W409" s="80"/>
      <c r="X409" s="80"/>
      <c r="Y409" s="80"/>
      <c r="Z409" s="80"/>
    </row>
    <row r="410" spans="1:26" x14ac:dyDescent="0.25">
      <c r="A410" s="80"/>
      <c r="B410" s="80"/>
      <c r="C410" s="80"/>
      <c r="D410" s="80"/>
      <c r="E410" s="80"/>
      <c r="F410" s="80"/>
      <c r="G410" s="80"/>
      <c r="H410" s="80"/>
      <c r="I410" s="80"/>
      <c r="J410" s="80"/>
      <c r="K410" s="80"/>
      <c r="L410" s="80"/>
      <c r="M410" s="80"/>
      <c r="N410" s="80"/>
      <c r="O410" s="80"/>
      <c r="P410" s="80"/>
      <c r="Q410" s="80"/>
      <c r="R410" s="80"/>
      <c r="S410" s="80"/>
      <c r="T410" s="80"/>
      <c r="U410" s="80"/>
      <c r="V410" s="80"/>
      <c r="W410" s="80"/>
      <c r="X410" s="80"/>
      <c r="Y410" s="80"/>
      <c r="Z410" s="80"/>
    </row>
    <row r="411" spans="1:26" x14ac:dyDescent="0.25">
      <c r="A411" s="80"/>
      <c r="B411" s="80"/>
      <c r="C411" s="80"/>
      <c r="D411" s="80"/>
      <c r="E411" s="80"/>
      <c r="F411" s="80"/>
      <c r="G411" s="80"/>
      <c r="H411" s="80"/>
      <c r="I411" s="80"/>
      <c r="J411" s="80"/>
      <c r="K411" s="80"/>
      <c r="L411" s="80"/>
      <c r="M411" s="80"/>
      <c r="N411" s="80"/>
      <c r="O411" s="80"/>
      <c r="P411" s="80"/>
      <c r="Q411" s="80"/>
      <c r="R411" s="80"/>
      <c r="S411" s="80"/>
      <c r="T411" s="80"/>
      <c r="U411" s="80"/>
      <c r="V411" s="80"/>
      <c r="W411" s="80"/>
      <c r="X411" s="80"/>
      <c r="Y411" s="80"/>
      <c r="Z411" s="80"/>
    </row>
    <row r="412" spans="1:26" x14ac:dyDescent="0.25">
      <c r="A412" s="80"/>
      <c r="B412" s="80"/>
      <c r="C412" s="80"/>
      <c r="D412" s="80"/>
      <c r="E412" s="80"/>
      <c r="F412" s="80"/>
      <c r="G412" s="80"/>
      <c r="H412" s="80"/>
      <c r="I412" s="80"/>
      <c r="J412" s="80"/>
      <c r="K412" s="80"/>
      <c r="L412" s="80"/>
      <c r="M412" s="80"/>
      <c r="N412" s="80"/>
      <c r="O412" s="80"/>
      <c r="P412" s="80"/>
      <c r="Q412" s="80"/>
      <c r="R412" s="80"/>
      <c r="S412" s="80"/>
      <c r="T412" s="80"/>
      <c r="U412" s="80"/>
      <c r="V412" s="80"/>
      <c r="W412" s="80"/>
      <c r="X412" s="80"/>
      <c r="Y412" s="80"/>
      <c r="Z412" s="80"/>
    </row>
    <row r="413" spans="1:26" x14ac:dyDescent="0.25">
      <c r="A413" s="80"/>
      <c r="B413" s="80"/>
      <c r="C413" s="80"/>
      <c r="D413" s="80"/>
      <c r="E413" s="80"/>
      <c r="F413" s="80"/>
      <c r="G413" s="80"/>
      <c r="H413" s="80"/>
      <c r="I413" s="80"/>
      <c r="J413" s="80"/>
      <c r="K413" s="80"/>
      <c r="L413" s="80"/>
      <c r="M413" s="80"/>
      <c r="N413" s="80"/>
      <c r="O413" s="80"/>
      <c r="P413" s="80"/>
      <c r="Q413" s="80"/>
      <c r="R413" s="80"/>
      <c r="S413" s="80"/>
      <c r="T413" s="80"/>
      <c r="U413" s="80"/>
      <c r="V413" s="80"/>
      <c r="W413" s="80"/>
      <c r="X413" s="80"/>
      <c r="Y413" s="80"/>
      <c r="Z413" s="80"/>
    </row>
    <row r="414" spans="1:26" x14ac:dyDescent="0.25">
      <c r="A414" s="80"/>
      <c r="B414" s="80"/>
      <c r="C414" s="80"/>
      <c r="D414" s="80"/>
      <c r="E414" s="80"/>
      <c r="F414" s="80"/>
      <c r="G414" s="80"/>
      <c r="H414" s="80"/>
      <c r="I414" s="80"/>
      <c r="J414" s="80"/>
      <c r="K414" s="80"/>
      <c r="L414" s="80"/>
      <c r="M414" s="80"/>
      <c r="N414" s="80"/>
      <c r="O414" s="80"/>
      <c r="P414" s="80"/>
      <c r="Q414" s="80"/>
      <c r="R414" s="80"/>
      <c r="S414" s="80"/>
      <c r="T414" s="80"/>
      <c r="U414" s="80"/>
      <c r="V414" s="80"/>
      <c r="W414" s="80"/>
      <c r="X414" s="80"/>
      <c r="Y414" s="80"/>
      <c r="Z414" s="80"/>
    </row>
    <row r="415" spans="1:26" x14ac:dyDescent="0.25">
      <c r="A415" s="80"/>
      <c r="B415" s="80"/>
      <c r="C415" s="80"/>
      <c r="D415" s="80"/>
      <c r="E415" s="80"/>
      <c r="F415" s="80"/>
      <c r="G415" s="80"/>
      <c r="H415" s="80"/>
      <c r="I415" s="80"/>
      <c r="J415" s="80"/>
      <c r="K415" s="80"/>
      <c r="L415" s="80"/>
      <c r="M415" s="80"/>
      <c r="N415" s="80"/>
      <c r="O415" s="80"/>
      <c r="P415" s="80"/>
      <c r="Q415" s="80"/>
      <c r="R415" s="80"/>
      <c r="S415" s="80"/>
      <c r="T415" s="80"/>
      <c r="U415" s="80"/>
      <c r="V415" s="80"/>
      <c r="W415" s="80"/>
      <c r="X415" s="80"/>
      <c r="Y415" s="80"/>
      <c r="Z415" s="80"/>
    </row>
    <row r="416" spans="1:26" x14ac:dyDescent="0.25">
      <c r="A416" s="80"/>
      <c r="B416" s="80"/>
      <c r="C416" s="80"/>
      <c r="D416" s="80"/>
      <c r="E416" s="80"/>
      <c r="F416" s="80"/>
      <c r="G416" s="80"/>
      <c r="H416" s="80"/>
      <c r="I416" s="80"/>
      <c r="J416" s="80"/>
      <c r="K416" s="80"/>
      <c r="L416" s="80"/>
      <c r="M416" s="80"/>
      <c r="N416" s="80"/>
      <c r="O416" s="80"/>
      <c r="P416" s="80"/>
      <c r="Q416" s="80"/>
      <c r="R416" s="80"/>
      <c r="S416" s="80"/>
      <c r="T416" s="80"/>
      <c r="U416" s="80"/>
      <c r="V416" s="80"/>
      <c r="W416" s="80"/>
      <c r="X416" s="80"/>
      <c r="Y416" s="80"/>
      <c r="Z416" s="80"/>
    </row>
    <row r="417" spans="1:26" x14ac:dyDescent="0.25">
      <c r="A417" s="80"/>
      <c r="B417" s="80"/>
      <c r="C417" s="80"/>
      <c r="D417" s="80"/>
      <c r="E417" s="80"/>
      <c r="F417" s="80"/>
      <c r="G417" s="80"/>
      <c r="H417" s="80"/>
      <c r="I417" s="80"/>
      <c r="J417" s="80"/>
      <c r="K417" s="80"/>
      <c r="L417" s="80"/>
      <c r="M417" s="80"/>
      <c r="N417" s="80"/>
      <c r="O417" s="80"/>
      <c r="P417" s="80"/>
      <c r="Q417" s="80"/>
      <c r="R417" s="80"/>
      <c r="S417" s="80"/>
      <c r="T417" s="80"/>
      <c r="U417" s="80"/>
      <c r="V417" s="80"/>
      <c r="W417" s="80"/>
      <c r="X417" s="80"/>
      <c r="Y417" s="80"/>
      <c r="Z417" s="80"/>
    </row>
    <row r="418" spans="1:26" x14ac:dyDescent="0.25">
      <c r="A418" s="80"/>
      <c r="B418" s="80"/>
      <c r="C418" s="80"/>
      <c r="D418" s="80"/>
      <c r="E418" s="80"/>
      <c r="F418" s="80"/>
      <c r="G418" s="80"/>
      <c r="H418" s="80"/>
      <c r="I418" s="80"/>
      <c r="J418" s="80"/>
      <c r="K418" s="80"/>
      <c r="L418" s="80"/>
      <c r="M418" s="80"/>
      <c r="N418" s="80"/>
      <c r="O418" s="80"/>
      <c r="P418" s="80"/>
      <c r="Q418" s="80"/>
      <c r="R418" s="80"/>
      <c r="S418" s="80"/>
      <c r="T418" s="80"/>
      <c r="U418" s="80"/>
      <c r="V418" s="80"/>
      <c r="W418" s="80"/>
      <c r="X418" s="80"/>
      <c r="Y418" s="80"/>
      <c r="Z418" s="80"/>
    </row>
    <row r="419" spans="1:26" x14ac:dyDescent="0.25">
      <c r="A419" s="80"/>
      <c r="B419" s="80"/>
      <c r="C419" s="80"/>
      <c r="D419" s="80"/>
      <c r="E419" s="80"/>
      <c r="F419" s="80"/>
      <c r="G419" s="80"/>
      <c r="H419" s="80"/>
      <c r="I419" s="80"/>
      <c r="J419" s="80"/>
      <c r="K419" s="80"/>
      <c r="L419" s="80"/>
      <c r="M419" s="80"/>
      <c r="N419" s="80"/>
      <c r="O419" s="80"/>
      <c r="P419" s="80"/>
      <c r="Q419" s="80"/>
      <c r="R419" s="80"/>
      <c r="S419" s="80"/>
      <c r="T419" s="80"/>
      <c r="U419" s="80"/>
      <c r="V419" s="80"/>
      <c r="W419" s="80"/>
      <c r="X419" s="80"/>
      <c r="Y419" s="80"/>
      <c r="Z419" s="80"/>
    </row>
    <row r="420" spans="1:26" x14ac:dyDescent="0.25">
      <c r="A420" s="80"/>
      <c r="B420" s="80"/>
      <c r="C420" s="80"/>
      <c r="D420" s="80"/>
      <c r="E420" s="80"/>
      <c r="F420" s="80"/>
      <c r="G420" s="80"/>
      <c r="H420" s="80"/>
      <c r="I420" s="80"/>
      <c r="J420" s="80"/>
      <c r="K420" s="80"/>
      <c r="L420" s="80"/>
      <c r="M420" s="80"/>
      <c r="N420" s="80"/>
      <c r="O420" s="80"/>
      <c r="P420" s="80"/>
      <c r="Q420" s="80"/>
      <c r="R420" s="80"/>
      <c r="S420" s="80"/>
      <c r="T420" s="80"/>
      <c r="U420" s="80"/>
      <c r="V420" s="80"/>
      <c r="W420" s="80"/>
      <c r="X420" s="80"/>
      <c r="Y420" s="80"/>
      <c r="Z420" s="80"/>
    </row>
    <row r="421" spans="1:26" x14ac:dyDescent="0.25">
      <c r="A421" s="80"/>
      <c r="B421" s="80"/>
      <c r="C421" s="80"/>
      <c r="D421" s="80"/>
      <c r="E421" s="80"/>
      <c r="F421" s="80"/>
      <c r="G421" s="80"/>
      <c r="H421" s="80"/>
      <c r="I421" s="80"/>
      <c r="J421" s="80"/>
      <c r="K421" s="80"/>
      <c r="L421" s="80"/>
      <c r="M421" s="80"/>
      <c r="N421" s="80"/>
      <c r="O421" s="80"/>
      <c r="P421" s="80"/>
      <c r="Q421" s="80"/>
      <c r="R421" s="80"/>
      <c r="S421" s="80"/>
      <c r="T421" s="80"/>
      <c r="U421" s="80"/>
      <c r="V421" s="80"/>
      <c r="W421" s="80"/>
      <c r="X421" s="80"/>
      <c r="Y421" s="80"/>
      <c r="Z421" s="80"/>
    </row>
    <row r="422" spans="1:26" x14ac:dyDescent="0.25">
      <c r="A422" s="80"/>
      <c r="B422" s="80"/>
      <c r="C422" s="80"/>
      <c r="D422" s="80"/>
      <c r="E422" s="80"/>
      <c r="F422" s="80"/>
      <c r="G422" s="80"/>
      <c r="H422" s="80"/>
      <c r="I422" s="80"/>
      <c r="J422" s="80"/>
      <c r="K422" s="80"/>
      <c r="L422" s="80"/>
      <c r="M422" s="80"/>
      <c r="N422" s="80"/>
      <c r="O422" s="80"/>
      <c r="P422" s="80"/>
      <c r="Q422" s="80"/>
      <c r="R422" s="80"/>
      <c r="S422" s="80"/>
      <c r="T422" s="80"/>
      <c r="U422" s="80"/>
      <c r="V422" s="80"/>
      <c r="W422" s="80"/>
      <c r="X422" s="80"/>
      <c r="Y422" s="80"/>
      <c r="Z422" s="80"/>
    </row>
    <row r="423" spans="1:26" x14ac:dyDescent="0.25">
      <c r="A423" s="80"/>
      <c r="B423" s="80"/>
      <c r="C423" s="80"/>
      <c r="D423" s="80"/>
      <c r="E423" s="80"/>
      <c r="F423" s="80"/>
      <c r="G423" s="80"/>
      <c r="H423" s="80"/>
      <c r="I423" s="80"/>
      <c r="J423" s="80"/>
      <c r="K423" s="80"/>
      <c r="L423" s="80"/>
      <c r="M423" s="80"/>
      <c r="N423" s="80"/>
      <c r="O423" s="80"/>
      <c r="P423" s="80"/>
      <c r="Q423" s="80"/>
      <c r="R423" s="80"/>
      <c r="S423" s="80"/>
      <c r="T423" s="80"/>
      <c r="U423" s="80"/>
      <c r="V423" s="80"/>
      <c r="W423" s="80"/>
      <c r="X423" s="80"/>
      <c r="Y423" s="80"/>
      <c r="Z423" s="80"/>
    </row>
    <row r="424" spans="1:26" x14ac:dyDescent="0.25">
      <c r="A424" s="80"/>
      <c r="B424" s="80"/>
      <c r="C424" s="80"/>
      <c r="D424" s="80"/>
      <c r="E424" s="80"/>
      <c r="F424" s="80"/>
      <c r="G424" s="80"/>
      <c r="H424" s="80"/>
      <c r="I424" s="80"/>
      <c r="J424" s="80"/>
      <c r="K424" s="80"/>
      <c r="L424" s="80"/>
      <c r="M424" s="80"/>
      <c r="N424" s="80"/>
      <c r="O424" s="80"/>
      <c r="P424" s="80"/>
      <c r="Q424" s="80"/>
      <c r="R424" s="80"/>
      <c r="S424" s="80"/>
      <c r="T424" s="80"/>
      <c r="U424" s="80"/>
      <c r="V424" s="80"/>
      <c r="W424" s="80"/>
      <c r="X424" s="80"/>
      <c r="Y424" s="80"/>
      <c r="Z424" s="80"/>
    </row>
    <row r="425" spans="1:26" x14ac:dyDescent="0.25">
      <c r="A425" s="80"/>
      <c r="B425" s="80"/>
      <c r="C425" s="80"/>
      <c r="D425" s="80"/>
      <c r="E425" s="80"/>
      <c r="F425" s="80"/>
      <c r="G425" s="80"/>
      <c r="H425" s="80"/>
      <c r="I425" s="80"/>
      <c r="J425" s="80"/>
      <c r="K425" s="80"/>
      <c r="L425" s="80"/>
      <c r="M425" s="80"/>
      <c r="N425" s="80"/>
      <c r="O425" s="80"/>
      <c r="P425" s="80"/>
      <c r="Q425" s="80"/>
      <c r="R425" s="80"/>
      <c r="S425" s="80"/>
      <c r="T425" s="80"/>
      <c r="U425" s="80"/>
      <c r="V425" s="80"/>
      <c r="W425" s="80"/>
      <c r="X425" s="80"/>
      <c r="Y425" s="80"/>
      <c r="Z425" s="80"/>
    </row>
    <row r="426" spans="1:26" x14ac:dyDescent="0.25">
      <c r="A426" s="80"/>
      <c r="B426" s="80"/>
      <c r="C426" s="80"/>
      <c r="D426" s="80"/>
      <c r="E426" s="80"/>
      <c r="F426" s="80"/>
      <c r="G426" s="80"/>
      <c r="H426" s="80"/>
      <c r="I426" s="80"/>
      <c r="J426" s="80"/>
      <c r="K426" s="80"/>
      <c r="L426" s="80"/>
      <c r="M426" s="80"/>
      <c r="N426" s="80"/>
      <c r="O426" s="80"/>
      <c r="P426" s="80"/>
      <c r="Q426" s="80"/>
      <c r="R426" s="80"/>
      <c r="S426" s="80"/>
      <c r="T426" s="80"/>
      <c r="U426" s="80"/>
      <c r="V426" s="80"/>
      <c r="W426" s="80"/>
      <c r="X426" s="80"/>
      <c r="Y426" s="80"/>
      <c r="Z426" s="80"/>
    </row>
    <row r="427" spans="1:26" x14ac:dyDescent="0.25">
      <c r="A427" s="80"/>
      <c r="B427" s="80"/>
      <c r="C427" s="80"/>
      <c r="D427" s="80"/>
      <c r="E427" s="80"/>
      <c r="F427" s="80"/>
      <c r="G427" s="80"/>
      <c r="H427" s="80"/>
      <c r="I427" s="80"/>
      <c r="J427" s="80"/>
      <c r="K427" s="80"/>
      <c r="L427" s="80"/>
      <c r="M427" s="80"/>
      <c r="N427" s="80"/>
      <c r="O427" s="80"/>
      <c r="P427" s="80"/>
      <c r="Q427" s="80"/>
      <c r="R427" s="80"/>
      <c r="S427" s="80"/>
      <c r="T427" s="80"/>
      <c r="U427" s="80"/>
      <c r="V427" s="80"/>
      <c r="W427" s="80"/>
      <c r="X427" s="80"/>
      <c r="Y427" s="80"/>
      <c r="Z427" s="80"/>
    </row>
    <row r="428" spans="1:26" x14ac:dyDescent="0.25">
      <c r="A428" s="80"/>
      <c r="B428" s="80"/>
      <c r="C428" s="80"/>
      <c r="D428" s="80"/>
      <c r="E428" s="80"/>
      <c r="F428" s="80"/>
      <c r="G428" s="80"/>
      <c r="H428" s="80"/>
      <c r="I428" s="80"/>
      <c r="J428" s="80"/>
      <c r="K428" s="80"/>
      <c r="L428" s="80"/>
      <c r="M428" s="80"/>
      <c r="N428" s="80"/>
      <c r="O428" s="80"/>
      <c r="P428" s="80"/>
      <c r="Q428" s="80"/>
      <c r="R428" s="80"/>
      <c r="S428" s="80"/>
      <c r="T428" s="80"/>
      <c r="U428" s="80"/>
      <c r="V428" s="80"/>
      <c r="W428" s="80"/>
      <c r="X428" s="80"/>
      <c r="Y428" s="80"/>
      <c r="Z428" s="80"/>
    </row>
    <row r="429" spans="1:26" x14ac:dyDescent="0.25">
      <c r="A429" s="80"/>
      <c r="B429" s="80"/>
      <c r="C429" s="80"/>
      <c r="D429" s="80"/>
      <c r="E429" s="80"/>
      <c r="F429" s="80"/>
      <c r="G429" s="80"/>
      <c r="H429" s="80"/>
      <c r="I429" s="80"/>
      <c r="J429" s="80"/>
      <c r="K429" s="80"/>
      <c r="L429" s="80"/>
      <c r="M429" s="80"/>
      <c r="N429" s="80"/>
      <c r="O429" s="80"/>
      <c r="P429" s="80"/>
      <c r="Q429" s="80"/>
      <c r="R429" s="80"/>
      <c r="S429" s="80"/>
      <c r="T429" s="80"/>
      <c r="U429" s="80"/>
      <c r="V429" s="80"/>
      <c r="W429" s="80"/>
      <c r="X429" s="80"/>
      <c r="Y429" s="80"/>
      <c r="Z429" s="80"/>
    </row>
    <row r="430" spans="1:26" x14ac:dyDescent="0.25">
      <c r="A430" s="80"/>
      <c r="B430" s="80"/>
      <c r="C430" s="80"/>
      <c r="D430" s="80"/>
      <c r="E430" s="80"/>
      <c r="F430" s="80"/>
      <c r="G430" s="80"/>
      <c r="H430" s="80"/>
      <c r="I430" s="80"/>
      <c r="J430" s="80"/>
      <c r="K430" s="80"/>
      <c r="L430" s="80"/>
      <c r="M430" s="80"/>
      <c r="N430" s="80"/>
      <c r="O430" s="80"/>
      <c r="P430" s="80"/>
      <c r="Q430" s="80"/>
      <c r="R430" s="80"/>
      <c r="S430" s="80"/>
      <c r="T430" s="80"/>
      <c r="U430" s="80"/>
      <c r="V430" s="80"/>
      <c r="W430" s="80"/>
      <c r="X430" s="80"/>
      <c r="Y430" s="80"/>
      <c r="Z430" s="80"/>
    </row>
    <row r="431" spans="1:26" x14ac:dyDescent="0.25">
      <c r="A431" s="80"/>
      <c r="B431" s="80"/>
      <c r="C431" s="80"/>
      <c r="D431" s="80"/>
      <c r="E431" s="80"/>
      <c r="F431" s="80"/>
      <c r="G431" s="80"/>
      <c r="H431" s="80"/>
      <c r="I431" s="80"/>
      <c r="J431" s="80"/>
      <c r="K431" s="80"/>
      <c r="L431" s="80"/>
      <c r="M431" s="80"/>
      <c r="N431" s="80"/>
      <c r="O431" s="80"/>
      <c r="P431" s="80"/>
      <c r="Q431" s="80"/>
      <c r="R431" s="80"/>
      <c r="S431" s="80"/>
      <c r="T431" s="80"/>
      <c r="U431" s="80"/>
      <c r="V431" s="80"/>
      <c r="W431" s="80"/>
      <c r="X431" s="80"/>
      <c r="Y431" s="80"/>
      <c r="Z431" s="80"/>
    </row>
    <row r="432" spans="1:26" x14ac:dyDescent="0.25">
      <c r="A432" s="80"/>
      <c r="B432" s="80"/>
      <c r="C432" s="80"/>
      <c r="D432" s="80"/>
      <c r="E432" s="80"/>
      <c r="F432" s="80"/>
      <c r="G432" s="80"/>
      <c r="H432" s="80"/>
      <c r="I432" s="80"/>
      <c r="J432" s="80"/>
      <c r="K432" s="80"/>
      <c r="L432" s="80"/>
      <c r="M432" s="80"/>
      <c r="N432" s="80"/>
      <c r="O432" s="80"/>
      <c r="P432" s="80"/>
      <c r="Q432" s="80"/>
      <c r="R432" s="80"/>
      <c r="S432" s="80"/>
      <c r="T432" s="80"/>
      <c r="U432" s="80"/>
      <c r="V432" s="80"/>
      <c r="W432" s="80"/>
      <c r="X432" s="80"/>
      <c r="Y432" s="80"/>
      <c r="Z432" s="80"/>
    </row>
    <row r="433" spans="1:26" x14ac:dyDescent="0.25">
      <c r="A433" s="80"/>
      <c r="B433" s="80"/>
      <c r="C433" s="80"/>
      <c r="D433" s="80"/>
      <c r="E433" s="80"/>
      <c r="F433" s="80"/>
      <c r="G433" s="80"/>
      <c r="H433" s="80"/>
      <c r="I433" s="80"/>
      <c r="J433" s="80"/>
      <c r="K433" s="80"/>
      <c r="L433" s="80"/>
      <c r="M433" s="80"/>
      <c r="N433" s="80"/>
      <c r="O433" s="80"/>
      <c r="P433" s="80"/>
      <c r="Q433" s="80"/>
      <c r="R433" s="80"/>
      <c r="S433" s="80"/>
      <c r="T433" s="80"/>
      <c r="U433" s="80"/>
      <c r="V433" s="80"/>
      <c r="W433" s="80"/>
      <c r="X433" s="80"/>
      <c r="Y433" s="80"/>
      <c r="Z433" s="80"/>
    </row>
    <row r="434" spans="1:26" x14ac:dyDescent="0.25">
      <c r="A434" s="80"/>
      <c r="B434" s="80"/>
      <c r="C434" s="80"/>
      <c r="D434" s="80"/>
      <c r="E434" s="80"/>
      <c r="F434" s="80"/>
      <c r="G434" s="80"/>
      <c r="H434" s="80"/>
      <c r="I434" s="80"/>
      <c r="J434" s="80"/>
      <c r="K434" s="80"/>
      <c r="L434" s="80"/>
      <c r="M434" s="80"/>
      <c r="N434" s="80"/>
      <c r="O434" s="80"/>
      <c r="P434" s="80"/>
      <c r="Q434" s="80"/>
      <c r="R434" s="80"/>
      <c r="S434" s="80"/>
      <c r="T434" s="80"/>
      <c r="U434" s="80"/>
      <c r="V434" s="80"/>
      <c r="W434" s="80"/>
      <c r="X434" s="80"/>
      <c r="Y434" s="80"/>
      <c r="Z434" s="80"/>
    </row>
    <row r="435" spans="1:26" x14ac:dyDescent="0.25">
      <c r="A435" s="80"/>
      <c r="B435" s="80"/>
      <c r="C435" s="80"/>
      <c r="D435" s="80"/>
      <c r="E435" s="80"/>
      <c r="F435" s="80"/>
      <c r="G435" s="80"/>
      <c r="H435" s="80"/>
      <c r="I435" s="80"/>
      <c r="J435" s="80"/>
      <c r="K435" s="80"/>
      <c r="L435" s="80"/>
      <c r="M435" s="80"/>
      <c r="N435" s="80"/>
      <c r="O435" s="80"/>
      <c r="P435" s="80"/>
      <c r="Q435" s="80"/>
      <c r="R435" s="80"/>
      <c r="S435" s="80"/>
      <c r="T435" s="80"/>
      <c r="U435" s="80"/>
      <c r="V435" s="80"/>
      <c r="W435" s="80"/>
      <c r="X435" s="80"/>
      <c r="Y435" s="80"/>
      <c r="Z435" s="80"/>
    </row>
    <row r="436" spans="1:26" x14ac:dyDescent="0.25">
      <c r="A436" s="80"/>
      <c r="B436" s="80"/>
      <c r="C436" s="80"/>
      <c r="D436" s="80"/>
      <c r="E436" s="80"/>
      <c r="F436" s="80"/>
      <c r="G436" s="80"/>
      <c r="H436" s="80"/>
      <c r="I436" s="80"/>
      <c r="J436" s="80"/>
      <c r="K436" s="80"/>
      <c r="L436" s="80"/>
      <c r="M436" s="80"/>
      <c r="N436" s="80"/>
      <c r="O436" s="80"/>
      <c r="P436" s="80"/>
      <c r="Q436" s="80"/>
      <c r="R436" s="80"/>
      <c r="S436" s="80"/>
      <c r="T436" s="80"/>
      <c r="U436" s="80"/>
      <c r="V436" s="80"/>
      <c r="W436" s="80"/>
      <c r="X436" s="80"/>
      <c r="Y436" s="80"/>
      <c r="Z436" s="80"/>
    </row>
    <row r="437" spans="1:26" x14ac:dyDescent="0.25">
      <c r="A437" s="80"/>
      <c r="B437" s="80"/>
      <c r="C437" s="80"/>
      <c r="D437" s="80"/>
      <c r="E437" s="80"/>
      <c r="F437" s="80"/>
      <c r="G437" s="80"/>
      <c r="H437" s="80"/>
      <c r="I437" s="80"/>
      <c r="J437" s="80"/>
      <c r="K437" s="80"/>
      <c r="L437" s="80"/>
      <c r="M437" s="80"/>
      <c r="N437" s="80"/>
      <c r="O437" s="80"/>
      <c r="P437" s="80"/>
      <c r="Q437" s="80"/>
      <c r="R437" s="80"/>
      <c r="S437" s="80"/>
      <c r="T437" s="80"/>
      <c r="U437" s="80"/>
      <c r="V437" s="80"/>
      <c r="W437" s="80"/>
      <c r="X437" s="80"/>
      <c r="Y437" s="80"/>
      <c r="Z437" s="80"/>
    </row>
    <row r="438" spans="1:26" x14ac:dyDescent="0.25">
      <c r="A438" s="80"/>
      <c r="B438" s="80"/>
      <c r="C438" s="80"/>
      <c r="D438" s="80"/>
      <c r="E438" s="80"/>
      <c r="F438" s="80"/>
      <c r="G438" s="80"/>
      <c r="H438" s="80"/>
      <c r="I438" s="80"/>
      <c r="J438" s="80"/>
      <c r="K438" s="80"/>
      <c r="L438" s="80"/>
      <c r="M438" s="80"/>
      <c r="N438" s="80"/>
      <c r="O438" s="80"/>
      <c r="P438" s="80"/>
      <c r="Q438" s="80"/>
      <c r="R438" s="80"/>
      <c r="S438" s="80"/>
      <c r="T438" s="80"/>
      <c r="U438" s="80"/>
      <c r="V438" s="80"/>
      <c r="W438" s="80"/>
      <c r="X438" s="80"/>
      <c r="Y438" s="80"/>
      <c r="Z438" s="80"/>
    </row>
    <row r="439" spans="1:26" x14ac:dyDescent="0.25">
      <c r="A439" s="80"/>
      <c r="B439" s="80"/>
      <c r="C439" s="80"/>
      <c r="D439" s="80"/>
      <c r="E439" s="80"/>
      <c r="F439" s="80"/>
      <c r="G439" s="80"/>
      <c r="H439" s="80"/>
      <c r="I439" s="80"/>
      <c r="J439" s="80"/>
      <c r="K439" s="80"/>
      <c r="L439" s="80"/>
      <c r="M439" s="80"/>
      <c r="N439" s="80"/>
      <c r="O439" s="80"/>
      <c r="P439" s="80"/>
      <c r="Q439" s="80"/>
      <c r="R439" s="80"/>
      <c r="S439" s="80"/>
      <c r="T439" s="80"/>
      <c r="U439" s="80"/>
      <c r="V439" s="80"/>
      <c r="W439" s="80"/>
      <c r="X439" s="80"/>
      <c r="Y439" s="80"/>
      <c r="Z439" s="80"/>
    </row>
    <row r="440" spans="1:26" x14ac:dyDescent="0.25">
      <c r="A440" s="80"/>
      <c r="B440" s="80"/>
      <c r="C440" s="80"/>
      <c r="D440" s="80"/>
      <c r="E440" s="80"/>
      <c r="F440" s="80"/>
      <c r="G440" s="80"/>
      <c r="H440" s="80"/>
      <c r="I440" s="80"/>
      <c r="J440" s="80"/>
      <c r="K440" s="80"/>
      <c r="L440" s="80"/>
      <c r="M440" s="80"/>
      <c r="N440" s="80"/>
      <c r="O440" s="80"/>
      <c r="P440" s="80"/>
      <c r="Q440" s="80"/>
      <c r="R440" s="80"/>
      <c r="S440" s="80"/>
      <c r="T440" s="80"/>
      <c r="U440" s="80"/>
      <c r="V440" s="80"/>
      <c r="W440" s="80"/>
      <c r="X440" s="80"/>
      <c r="Y440" s="80"/>
      <c r="Z440" s="80"/>
    </row>
    <row r="441" spans="1:26" x14ac:dyDescent="0.25">
      <c r="A441" s="80"/>
      <c r="B441" s="80"/>
      <c r="C441" s="80"/>
      <c r="D441" s="80"/>
      <c r="E441" s="80"/>
      <c r="F441" s="80"/>
      <c r="G441" s="80"/>
      <c r="H441" s="80"/>
      <c r="I441" s="80"/>
      <c r="J441" s="80"/>
      <c r="K441" s="80"/>
      <c r="L441" s="80"/>
      <c r="M441" s="80"/>
      <c r="N441" s="80"/>
      <c r="O441" s="80"/>
      <c r="P441" s="80"/>
      <c r="Q441" s="80"/>
      <c r="R441" s="80"/>
      <c r="S441" s="80"/>
      <c r="T441" s="80"/>
      <c r="U441" s="80"/>
      <c r="V441" s="80"/>
      <c r="W441" s="80"/>
      <c r="X441" s="80"/>
      <c r="Y441" s="80"/>
      <c r="Z441" s="80"/>
    </row>
    <row r="442" spans="1:26" x14ac:dyDescent="0.25">
      <c r="A442" s="80"/>
      <c r="B442" s="80"/>
      <c r="C442" s="80"/>
      <c r="D442" s="80"/>
      <c r="E442" s="80"/>
      <c r="F442" s="80"/>
      <c r="G442" s="80"/>
      <c r="H442" s="80"/>
      <c r="I442" s="80"/>
      <c r="J442" s="80"/>
      <c r="K442" s="80"/>
      <c r="L442" s="80"/>
      <c r="M442" s="80"/>
      <c r="N442" s="80"/>
      <c r="O442" s="80"/>
      <c r="P442" s="80"/>
      <c r="Q442" s="80"/>
      <c r="R442" s="80"/>
      <c r="S442" s="80"/>
      <c r="T442" s="80"/>
      <c r="U442" s="80"/>
      <c r="V442" s="80"/>
      <c r="W442" s="80"/>
      <c r="X442" s="80"/>
      <c r="Y442" s="80"/>
      <c r="Z442" s="80"/>
    </row>
    <row r="443" spans="1:26" x14ac:dyDescent="0.25">
      <c r="A443" s="80"/>
      <c r="B443" s="80"/>
      <c r="C443" s="80"/>
      <c r="D443" s="80"/>
      <c r="E443" s="80"/>
      <c r="F443" s="80"/>
      <c r="G443" s="80"/>
      <c r="H443" s="80"/>
      <c r="I443" s="80"/>
      <c r="J443" s="80"/>
      <c r="K443" s="80"/>
      <c r="L443" s="80"/>
      <c r="M443" s="80"/>
      <c r="N443" s="80"/>
      <c r="O443" s="80"/>
      <c r="P443" s="80"/>
      <c r="Q443" s="80"/>
      <c r="R443" s="80"/>
      <c r="S443" s="80"/>
      <c r="T443" s="80"/>
      <c r="U443" s="80"/>
      <c r="V443" s="80"/>
      <c r="W443" s="80"/>
      <c r="X443" s="80"/>
      <c r="Y443" s="80"/>
      <c r="Z443" s="80"/>
    </row>
    <row r="444" spans="1:26" x14ac:dyDescent="0.25">
      <c r="A444" s="80"/>
      <c r="B444" s="80"/>
      <c r="C444" s="80"/>
      <c r="D444" s="80"/>
      <c r="E444" s="80"/>
      <c r="F444" s="80"/>
      <c r="G444" s="80"/>
      <c r="H444" s="80"/>
      <c r="I444" s="80"/>
      <c r="J444" s="80"/>
      <c r="K444" s="80"/>
      <c r="L444" s="80"/>
      <c r="M444" s="80"/>
      <c r="N444" s="80"/>
      <c r="O444" s="80"/>
      <c r="P444" s="80"/>
      <c r="Q444" s="80"/>
      <c r="R444" s="80"/>
      <c r="S444" s="80"/>
      <c r="T444" s="80"/>
      <c r="U444" s="80"/>
      <c r="V444" s="80"/>
      <c r="W444" s="80"/>
      <c r="X444" s="80"/>
      <c r="Y444" s="80"/>
      <c r="Z444" s="80"/>
    </row>
    <row r="445" spans="1:26" x14ac:dyDescent="0.25">
      <c r="A445" s="80"/>
      <c r="B445" s="80"/>
      <c r="C445" s="80"/>
      <c r="D445" s="80"/>
      <c r="E445" s="80"/>
      <c r="F445" s="80"/>
      <c r="G445" s="80"/>
      <c r="H445" s="80"/>
      <c r="I445" s="80"/>
      <c r="J445" s="80"/>
      <c r="K445" s="80"/>
      <c r="L445" s="80"/>
      <c r="M445" s="80"/>
      <c r="N445" s="80"/>
      <c r="O445" s="80"/>
      <c r="P445" s="80"/>
      <c r="Q445" s="80"/>
      <c r="R445" s="80"/>
      <c r="S445" s="80"/>
      <c r="T445" s="80"/>
      <c r="U445" s="80"/>
      <c r="V445" s="80"/>
      <c r="W445" s="80"/>
      <c r="X445" s="80"/>
      <c r="Y445" s="80"/>
      <c r="Z445" s="80"/>
    </row>
    <row r="446" spans="1:26" x14ac:dyDescent="0.25">
      <c r="A446" s="80"/>
      <c r="B446" s="80"/>
      <c r="C446" s="80"/>
      <c r="D446" s="80"/>
      <c r="E446" s="80"/>
      <c r="F446" s="80"/>
      <c r="G446" s="80"/>
      <c r="H446" s="80"/>
      <c r="I446" s="80"/>
      <c r="J446" s="80"/>
      <c r="K446" s="80"/>
      <c r="L446" s="80"/>
      <c r="M446" s="80"/>
      <c r="N446" s="80"/>
      <c r="O446" s="80"/>
      <c r="P446" s="80"/>
      <c r="Q446" s="80"/>
      <c r="R446" s="80"/>
      <c r="S446" s="80"/>
      <c r="T446" s="80"/>
      <c r="U446" s="80"/>
      <c r="V446" s="80"/>
      <c r="W446" s="80"/>
      <c r="X446" s="80"/>
      <c r="Y446" s="80"/>
      <c r="Z446" s="80"/>
    </row>
    <row r="447" spans="1:26" x14ac:dyDescent="0.25">
      <c r="A447" s="80"/>
      <c r="B447" s="80"/>
      <c r="C447" s="80"/>
      <c r="D447" s="80"/>
      <c r="E447" s="80"/>
      <c r="F447" s="80"/>
      <c r="G447" s="80"/>
      <c r="H447" s="80"/>
      <c r="I447" s="80"/>
      <c r="J447" s="80"/>
      <c r="K447" s="80"/>
      <c r="L447" s="80"/>
      <c r="M447" s="80"/>
      <c r="N447" s="80"/>
      <c r="O447" s="80"/>
      <c r="P447" s="80"/>
      <c r="Q447" s="80"/>
      <c r="R447" s="80"/>
      <c r="S447" s="80"/>
      <c r="T447" s="80"/>
      <c r="U447" s="80"/>
      <c r="V447" s="80"/>
      <c r="W447" s="80"/>
      <c r="X447" s="80"/>
      <c r="Y447" s="80"/>
      <c r="Z447" s="80"/>
    </row>
    <row r="448" spans="1:26" x14ac:dyDescent="0.25">
      <c r="A448" s="80"/>
      <c r="B448" s="80"/>
      <c r="C448" s="80"/>
      <c r="D448" s="80"/>
      <c r="E448" s="80"/>
      <c r="F448" s="80"/>
      <c r="G448" s="80"/>
      <c r="H448" s="80"/>
      <c r="I448" s="80"/>
      <c r="J448" s="80"/>
      <c r="K448" s="80"/>
      <c r="L448" s="80"/>
      <c r="M448" s="80"/>
      <c r="N448" s="80"/>
      <c r="O448" s="80"/>
      <c r="P448" s="80"/>
      <c r="Q448" s="80"/>
      <c r="R448" s="80"/>
      <c r="S448" s="80"/>
      <c r="T448" s="80"/>
      <c r="U448" s="80"/>
      <c r="V448" s="80"/>
      <c r="W448" s="80"/>
      <c r="X448" s="80"/>
      <c r="Y448" s="80"/>
      <c r="Z448" s="80"/>
    </row>
    <row r="449" spans="1:26" x14ac:dyDescent="0.25">
      <c r="A449" s="80"/>
      <c r="B449" s="80"/>
      <c r="C449" s="80"/>
      <c r="D449" s="80"/>
      <c r="E449" s="80"/>
      <c r="F449" s="80"/>
      <c r="G449" s="80"/>
      <c r="H449" s="80"/>
      <c r="I449" s="80"/>
      <c r="J449" s="80"/>
      <c r="K449" s="80"/>
      <c r="L449" s="80"/>
      <c r="M449" s="80"/>
      <c r="N449" s="80"/>
      <c r="O449" s="80"/>
      <c r="P449" s="80"/>
      <c r="Q449" s="80"/>
      <c r="R449" s="80"/>
      <c r="S449" s="80"/>
      <c r="T449" s="80"/>
      <c r="U449" s="80"/>
      <c r="V449" s="80"/>
      <c r="W449" s="80"/>
      <c r="X449" s="80"/>
      <c r="Y449" s="80"/>
      <c r="Z449" s="80"/>
    </row>
    <row r="450" spans="1:26" x14ac:dyDescent="0.25">
      <c r="A450" s="80"/>
      <c r="B450" s="80"/>
      <c r="C450" s="80"/>
      <c r="D450" s="80"/>
      <c r="E450" s="80"/>
      <c r="F450" s="80"/>
      <c r="G450" s="80"/>
      <c r="H450" s="80"/>
      <c r="I450" s="80"/>
      <c r="J450" s="80"/>
      <c r="K450" s="80"/>
      <c r="L450" s="80"/>
      <c r="M450" s="80"/>
      <c r="N450" s="80"/>
      <c r="O450" s="80"/>
      <c r="P450" s="80"/>
      <c r="Q450" s="80"/>
      <c r="R450" s="80"/>
      <c r="S450" s="80"/>
      <c r="T450" s="80"/>
      <c r="U450" s="80"/>
      <c r="V450" s="80"/>
      <c r="W450" s="80"/>
      <c r="X450" s="80"/>
      <c r="Y450" s="80"/>
      <c r="Z450" s="80"/>
    </row>
    <row r="451" spans="1:26" x14ac:dyDescent="0.25">
      <c r="A451" s="80"/>
      <c r="B451" s="80"/>
      <c r="C451" s="80"/>
      <c r="D451" s="80"/>
      <c r="E451" s="80"/>
      <c r="F451" s="80"/>
      <c r="G451" s="80"/>
      <c r="H451" s="80"/>
      <c r="I451" s="80"/>
      <c r="J451" s="80"/>
      <c r="K451" s="80"/>
      <c r="L451" s="80"/>
      <c r="M451" s="80"/>
      <c r="N451" s="80"/>
      <c r="O451" s="80"/>
      <c r="P451" s="80"/>
      <c r="Q451" s="80"/>
      <c r="R451" s="80"/>
      <c r="S451" s="80"/>
      <c r="T451" s="80"/>
      <c r="U451" s="80"/>
      <c r="V451" s="80"/>
      <c r="W451" s="80"/>
      <c r="X451" s="80"/>
      <c r="Y451" s="80"/>
      <c r="Z451" s="80"/>
    </row>
    <row r="452" spans="1:26" x14ac:dyDescent="0.25">
      <c r="A452" s="80"/>
      <c r="B452" s="80"/>
      <c r="C452" s="80"/>
      <c r="D452" s="80"/>
      <c r="E452" s="80"/>
      <c r="F452" s="80"/>
      <c r="G452" s="80"/>
      <c r="H452" s="80"/>
      <c r="I452" s="80"/>
      <c r="J452" s="80"/>
      <c r="K452" s="80"/>
      <c r="L452" s="80"/>
      <c r="M452" s="80"/>
      <c r="N452" s="80"/>
      <c r="O452" s="80"/>
      <c r="P452" s="80"/>
      <c r="Q452" s="80"/>
      <c r="R452" s="80"/>
      <c r="S452" s="80"/>
      <c r="T452" s="80"/>
      <c r="U452" s="80"/>
      <c r="V452" s="80"/>
      <c r="W452" s="80"/>
      <c r="X452" s="80"/>
      <c r="Y452" s="80"/>
      <c r="Z452" s="80"/>
    </row>
    <row r="453" spans="1:26" x14ac:dyDescent="0.25">
      <c r="A453" s="80"/>
      <c r="B453" s="80"/>
      <c r="C453" s="80"/>
      <c r="D453" s="80"/>
      <c r="E453" s="80"/>
      <c r="F453" s="80"/>
      <c r="G453" s="80"/>
      <c r="H453" s="80"/>
      <c r="I453" s="80"/>
      <c r="J453" s="80"/>
      <c r="K453" s="80"/>
      <c r="L453" s="80"/>
      <c r="M453" s="80"/>
      <c r="N453" s="80"/>
      <c r="O453" s="80"/>
      <c r="P453" s="80"/>
      <c r="Q453" s="80"/>
      <c r="R453" s="80"/>
      <c r="S453" s="80"/>
      <c r="T453" s="80"/>
      <c r="U453" s="80"/>
      <c r="V453" s="80"/>
      <c r="W453" s="80"/>
      <c r="X453" s="80"/>
      <c r="Y453" s="80"/>
      <c r="Z453" s="80"/>
    </row>
    <row r="454" spans="1:26" x14ac:dyDescent="0.25">
      <c r="A454" s="80"/>
      <c r="B454" s="80"/>
      <c r="C454" s="80"/>
      <c r="D454" s="80"/>
      <c r="E454" s="80"/>
      <c r="F454" s="80"/>
      <c r="G454" s="80"/>
      <c r="H454" s="80"/>
      <c r="I454" s="80"/>
      <c r="J454" s="80"/>
      <c r="K454" s="80"/>
      <c r="L454" s="80"/>
      <c r="M454" s="80"/>
      <c r="N454" s="80"/>
      <c r="O454" s="80"/>
      <c r="P454" s="80"/>
      <c r="Q454" s="80"/>
      <c r="R454" s="80"/>
      <c r="S454" s="80"/>
      <c r="T454" s="80"/>
      <c r="U454" s="80"/>
      <c r="V454" s="80"/>
      <c r="W454" s="80"/>
      <c r="X454" s="80"/>
      <c r="Y454" s="80"/>
      <c r="Z454" s="80"/>
    </row>
    <row r="455" spans="1:26" x14ac:dyDescent="0.25">
      <c r="A455" s="80"/>
      <c r="B455" s="80"/>
      <c r="C455" s="80"/>
      <c r="D455" s="80"/>
      <c r="E455" s="80"/>
      <c r="F455" s="80"/>
      <c r="G455" s="80"/>
      <c r="H455" s="80"/>
      <c r="I455" s="80"/>
      <c r="J455" s="80"/>
      <c r="K455" s="80"/>
      <c r="L455" s="80"/>
      <c r="M455" s="80"/>
      <c r="N455" s="80"/>
      <c r="O455" s="80"/>
      <c r="P455" s="80"/>
      <c r="Q455" s="80"/>
      <c r="R455" s="80"/>
      <c r="S455" s="80"/>
      <c r="T455" s="80"/>
      <c r="U455" s="80"/>
      <c r="V455" s="80"/>
      <c r="W455" s="80"/>
      <c r="X455" s="80"/>
      <c r="Y455" s="80"/>
      <c r="Z455" s="80"/>
    </row>
    <row r="456" spans="1:26" x14ac:dyDescent="0.25">
      <c r="A456" s="80"/>
      <c r="B456" s="80"/>
      <c r="C456" s="80"/>
      <c r="D456" s="80"/>
      <c r="E456" s="80"/>
      <c r="F456" s="80"/>
      <c r="G456" s="80"/>
      <c r="H456" s="80"/>
      <c r="I456" s="80"/>
      <c r="J456" s="80"/>
      <c r="K456" s="80"/>
      <c r="L456" s="80"/>
      <c r="M456" s="80"/>
      <c r="N456" s="80"/>
      <c r="O456" s="80"/>
      <c r="P456" s="80"/>
      <c r="Q456" s="80"/>
      <c r="R456" s="80"/>
      <c r="S456" s="80"/>
      <c r="T456" s="80"/>
      <c r="U456" s="80"/>
      <c r="V456" s="80"/>
      <c r="W456" s="80"/>
      <c r="X456" s="80"/>
      <c r="Y456" s="80"/>
      <c r="Z456" s="80"/>
    </row>
    <row r="457" spans="1:26" x14ac:dyDescent="0.25">
      <c r="A457" s="80"/>
      <c r="B457" s="80"/>
      <c r="C457" s="80"/>
      <c r="D457" s="80"/>
      <c r="E457" s="80"/>
      <c r="F457" s="80"/>
      <c r="G457" s="80"/>
      <c r="H457" s="80"/>
      <c r="I457" s="80"/>
      <c r="J457" s="80"/>
      <c r="K457" s="80"/>
      <c r="L457" s="80"/>
      <c r="M457" s="80"/>
      <c r="N457" s="80"/>
      <c r="O457" s="80"/>
      <c r="P457" s="80"/>
      <c r="Q457" s="80"/>
      <c r="R457" s="80"/>
      <c r="S457" s="80"/>
      <c r="T457" s="80"/>
      <c r="U457" s="80"/>
      <c r="V457" s="80"/>
      <c r="W457" s="80"/>
      <c r="X457" s="80"/>
      <c r="Y457" s="80"/>
      <c r="Z457" s="80"/>
    </row>
    <row r="458" spans="1:26" x14ac:dyDescent="0.25">
      <c r="A458" s="80"/>
      <c r="B458" s="80"/>
      <c r="C458" s="80"/>
      <c r="D458" s="80"/>
      <c r="E458" s="80"/>
      <c r="F458" s="80"/>
      <c r="G458" s="80"/>
      <c r="H458" s="80"/>
      <c r="I458" s="80"/>
      <c r="J458" s="80"/>
      <c r="K458" s="80"/>
      <c r="L458" s="80"/>
      <c r="M458" s="80"/>
      <c r="N458" s="80"/>
      <c r="O458" s="80"/>
      <c r="P458" s="80"/>
      <c r="Q458" s="80"/>
      <c r="R458" s="80"/>
      <c r="S458" s="80"/>
      <c r="T458" s="80"/>
      <c r="U458" s="80"/>
      <c r="V458" s="80"/>
      <c r="W458" s="80"/>
      <c r="X458" s="80"/>
      <c r="Y458" s="80"/>
      <c r="Z458" s="80"/>
    </row>
    <row r="459" spans="1:26" x14ac:dyDescent="0.25">
      <c r="A459" s="80"/>
      <c r="B459" s="80"/>
      <c r="C459" s="80"/>
      <c r="D459" s="80"/>
      <c r="E459" s="80"/>
      <c r="F459" s="80"/>
      <c r="G459" s="80"/>
      <c r="H459" s="80"/>
      <c r="I459" s="80"/>
      <c r="J459" s="80"/>
      <c r="K459" s="80"/>
      <c r="L459" s="80"/>
      <c r="M459" s="80"/>
      <c r="N459" s="80"/>
      <c r="O459" s="80"/>
      <c r="P459" s="80"/>
      <c r="Q459" s="80"/>
      <c r="R459" s="80"/>
      <c r="S459" s="80"/>
      <c r="T459" s="80"/>
      <c r="U459" s="80"/>
      <c r="V459" s="80"/>
      <c r="W459" s="80"/>
      <c r="X459" s="80"/>
      <c r="Y459" s="80"/>
      <c r="Z459" s="80"/>
    </row>
    <row r="460" spans="1:26" x14ac:dyDescent="0.25">
      <c r="A460" s="80"/>
      <c r="B460" s="80"/>
      <c r="C460" s="80"/>
      <c r="D460" s="80"/>
      <c r="E460" s="80"/>
      <c r="F460" s="80"/>
      <c r="G460" s="80"/>
      <c r="H460" s="80"/>
      <c r="I460" s="80"/>
      <c r="J460" s="80"/>
      <c r="K460" s="80"/>
      <c r="L460" s="80"/>
      <c r="M460" s="80"/>
      <c r="N460" s="80"/>
      <c r="O460" s="80"/>
      <c r="P460" s="80"/>
      <c r="Q460" s="80"/>
      <c r="R460" s="80"/>
      <c r="S460" s="80"/>
      <c r="T460" s="80"/>
      <c r="U460" s="80"/>
      <c r="V460" s="80"/>
      <c r="W460" s="80"/>
      <c r="X460" s="80"/>
      <c r="Y460" s="80"/>
      <c r="Z460" s="80"/>
    </row>
    <row r="461" spans="1:26" x14ac:dyDescent="0.25">
      <c r="A461" s="80"/>
      <c r="B461" s="80"/>
      <c r="C461" s="80"/>
      <c r="D461" s="80"/>
      <c r="E461" s="80"/>
      <c r="F461" s="80"/>
      <c r="G461" s="80"/>
      <c r="H461" s="80"/>
      <c r="I461" s="80"/>
      <c r="J461" s="80"/>
      <c r="K461" s="80"/>
      <c r="L461" s="80"/>
      <c r="M461" s="80"/>
      <c r="N461" s="80"/>
      <c r="O461" s="80"/>
      <c r="P461" s="80"/>
      <c r="Q461" s="80"/>
      <c r="R461" s="80"/>
      <c r="S461" s="80"/>
      <c r="T461" s="80"/>
      <c r="U461" s="80"/>
      <c r="V461" s="80"/>
      <c r="W461" s="80"/>
      <c r="X461" s="80"/>
      <c r="Y461" s="80"/>
      <c r="Z461" s="80"/>
    </row>
    <row r="462" spans="1:26" x14ac:dyDescent="0.25">
      <c r="A462" s="80"/>
      <c r="B462" s="80"/>
      <c r="C462" s="80"/>
      <c r="D462" s="80"/>
      <c r="E462" s="80"/>
      <c r="F462" s="80"/>
      <c r="G462" s="80"/>
      <c r="H462" s="80"/>
      <c r="I462" s="80"/>
      <c r="J462" s="80"/>
      <c r="K462" s="80"/>
      <c r="L462" s="80"/>
      <c r="M462" s="80"/>
      <c r="N462" s="80"/>
      <c r="O462" s="80"/>
      <c r="P462" s="80"/>
      <c r="Q462" s="80"/>
      <c r="R462" s="80"/>
      <c r="S462" s="80"/>
      <c r="T462" s="80"/>
      <c r="U462" s="80"/>
      <c r="V462" s="80"/>
      <c r="W462" s="80"/>
      <c r="X462" s="80"/>
      <c r="Y462" s="80"/>
      <c r="Z462" s="80"/>
    </row>
    <row r="463" spans="1:26" x14ac:dyDescent="0.25">
      <c r="A463" s="80"/>
      <c r="B463" s="80"/>
      <c r="C463" s="80"/>
      <c r="D463" s="80"/>
      <c r="E463" s="80"/>
      <c r="F463" s="80"/>
      <c r="G463" s="80"/>
      <c r="H463" s="80"/>
      <c r="I463" s="80"/>
      <c r="J463" s="80"/>
      <c r="K463" s="80"/>
      <c r="L463" s="80"/>
      <c r="M463" s="80"/>
      <c r="N463" s="80"/>
      <c r="O463" s="80"/>
      <c r="P463" s="80"/>
      <c r="Q463" s="80"/>
      <c r="R463" s="80"/>
      <c r="S463" s="80"/>
      <c r="T463" s="80"/>
      <c r="U463" s="80"/>
      <c r="V463" s="80"/>
      <c r="W463" s="80"/>
      <c r="X463" s="80"/>
      <c r="Y463" s="80"/>
      <c r="Z463" s="80"/>
    </row>
    <row r="464" spans="1:26" x14ac:dyDescent="0.25">
      <c r="A464" s="80"/>
      <c r="B464" s="80"/>
      <c r="C464" s="80"/>
      <c r="D464" s="80"/>
      <c r="E464" s="80"/>
      <c r="F464" s="80"/>
      <c r="G464" s="80"/>
      <c r="H464" s="80"/>
      <c r="I464" s="80"/>
      <c r="J464" s="80"/>
      <c r="K464" s="80"/>
      <c r="L464" s="80"/>
      <c r="M464" s="80"/>
      <c r="N464" s="80"/>
      <c r="O464" s="80"/>
      <c r="P464" s="80"/>
      <c r="Q464" s="80"/>
      <c r="R464" s="80"/>
      <c r="S464" s="80"/>
      <c r="T464" s="80"/>
      <c r="U464" s="80"/>
      <c r="V464" s="80"/>
      <c r="W464" s="80"/>
      <c r="X464" s="80"/>
      <c r="Y464" s="80"/>
      <c r="Z464" s="80"/>
    </row>
    <row r="465" spans="1:26" x14ac:dyDescent="0.25">
      <c r="A465" s="80"/>
      <c r="B465" s="80"/>
      <c r="C465" s="80"/>
      <c r="D465" s="80"/>
      <c r="E465" s="80"/>
      <c r="F465" s="80"/>
      <c r="G465" s="80"/>
      <c r="H465" s="80"/>
      <c r="I465" s="80"/>
      <c r="J465" s="80"/>
      <c r="K465" s="80"/>
      <c r="L465" s="80"/>
      <c r="M465" s="80"/>
      <c r="N465" s="80"/>
      <c r="O465" s="80"/>
      <c r="P465" s="80"/>
      <c r="Q465" s="80"/>
      <c r="R465" s="80"/>
      <c r="S465" s="80"/>
      <c r="T465" s="80"/>
      <c r="U465" s="80"/>
      <c r="V465" s="80"/>
      <c r="W465" s="80"/>
      <c r="X465" s="80"/>
      <c r="Y465" s="80"/>
      <c r="Z465" s="80"/>
    </row>
    <row r="466" spans="1:26" x14ac:dyDescent="0.25">
      <c r="A466" s="80"/>
      <c r="B466" s="80"/>
      <c r="C466" s="80"/>
      <c r="D466" s="80"/>
      <c r="E466" s="80"/>
      <c r="F466" s="80"/>
      <c r="G466" s="80"/>
      <c r="H466" s="80"/>
      <c r="I466" s="80"/>
      <c r="J466" s="80"/>
      <c r="K466" s="80"/>
      <c r="L466" s="80"/>
      <c r="M466" s="80"/>
      <c r="N466" s="80"/>
      <c r="O466" s="80"/>
      <c r="P466" s="80"/>
      <c r="Q466" s="80"/>
      <c r="R466" s="80"/>
      <c r="S466" s="80"/>
      <c r="T466" s="80"/>
      <c r="U466" s="80"/>
      <c r="V466" s="80"/>
      <c r="W466" s="80"/>
      <c r="X466" s="80"/>
      <c r="Y466" s="80"/>
      <c r="Z466" s="80"/>
    </row>
    <row r="467" spans="1:26" x14ac:dyDescent="0.25">
      <c r="A467" s="80"/>
      <c r="B467" s="80"/>
      <c r="C467" s="80"/>
      <c r="D467" s="80"/>
      <c r="E467" s="80"/>
      <c r="F467" s="80"/>
      <c r="G467" s="80"/>
      <c r="H467" s="80"/>
      <c r="I467" s="80"/>
      <c r="J467" s="80"/>
      <c r="K467" s="80"/>
      <c r="L467" s="80"/>
      <c r="M467" s="80"/>
      <c r="N467" s="80"/>
      <c r="O467" s="80"/>
      <c r="P467" s="80"/>
      <c r="Q467" s="80"/>
      <c r="R467" s="80"/>
      <c r="S467" s="80"/>
      <c r="T467" s="80"/>
      <c r="U467" s="80"/>
      <c r="V467" s="80"/>
      <c r="W467" s="80"/>
      <c r="X467" s="80"/>
      <c r="Y467" s="80"/>
      <c r="Z467" s="80"/>
    </row>
    <row r="468" spans="1:26" x14ac:dyDescent="0.25">
      <c r="A468" s="80"/>
      <c r="B468" s="80"/>
      <c r="C468" s="80"/>
      <c r="D468" s="80"/>
      <c r="E468" s="80"/>
      <c r="F468" s="80"/>
      <c r="G468" s="80"/>
      <c r="H468" s="80"/>
      <c r="I468" s="80"/>
      <c r="J468" s="80"/>
      <c r="K468" s="80"/>
      <c r="L468" s="80"/>
      <c r="M468" s="80"/>
      <c r="N468" s="80"/>
      <c r="O468" s="80"/>
      <c r="P468" s="80"/>
      <c r="Q468" s="80"/>
      <c r="R468" s="80"/>
      <c r="S468" s="80"/>
      <c r="T468" s="80"/>
      <c r="U468" s="80"/>
      <c r="V468" s="80"/>
      <c r="W468" s="80"/>
      <c r="X468" s="80"/>
      <c r="Y468" s="80"/>
      <c r="Z468" s="80"/>
    </row>
    <row r="469" spans="1:26" x14ac:dyDescent="0.25">
      <c r="A469" s="80"/>
      <c r="B469" s="80"/>
      <c r="C469" s="80"/>
      <c r="D469" s="80"/>
      <c r="E469" s="80"/>
      <c r="F469" s="80"/>
      <c r="G469" s="80"/>
      <c r="H469" s="80"/>
      <c r="I469" s="80"/>
      <c r="J469" s="80"/>
      <c r="K469" s="80"/>
      <c r="L469" s="80"/>
      <c r="M469" s="80"/>
      <c r="N469" s="80"/>
      <c r="O469" s="80"/>
      <c r="P469" s="80"/>
      <c r="Q469" s="80"/>
      <c r="R469" s="80"/>
      <c r="S469" s="80"/>
      <c r="T469" s="80"/>
      <c r="U469" s="80"/>
      <c r="V469" s="80"/>
      <c r="W469" s="80"/>
      <c r="X469" s="80"/>
      <c r="Y469" s="80"/>
      <c r="Z469" s="80"/>
    </row>
    <row r="470" spans="1:26" x14ac:dyDescent="0.25">
      <c r="A470" s="80"/>
      <c r="B470" s="80"/>
      <c r="C470" s="80"/>
      <c r="D470" s="80"/>
      <c r="E470" s="80"/>
      <c r="F470" s="80"/>
      <c r="G470" s="80"/>
      <c r="H470" s="80"/>
      <c r="I470" s="80"/>
      <c r="J470" s="80"/>
      <c r="K470" s="80"/>
      <c r="L470" s="80"/>
      <c r="M470" s="80"/>
      <c r="N470" s="80"/>
      <c r="O470" s="80"/>
      <c r="P470" s="80"/>
      <c r="Q470" s="80"/>
      <c r="R470" s="80"/>
      <c r="S470" s="80"/>
      <c r="T470" s="80"/>
      <c r="U470" s="80"/>
      <c r="V470" s="80"/>
      <c r="W470" s="80"/>
      <c r="X470" s="80"/>
      <c r="Y470" s="80"/>
      <c r="Z470" s="80"/>
    </row>
    <row r="471" spans="1:26" x14ac:dyDescent="0.25">
      <c r="A471" s="80"/>
      <c r="B471" s="80"/>
      <c r="C471" s="80"/>
      <c r="D471" s="80"/>
      <c r="E471" s="80"/>
      <c r="F471" s="80"/>
      <c r="G471" s="80"/>
      <c r="H471" s="80"/>
      <c r="I471" s="80"/>
      <c r="J471" s="80"/>
      <c r="K471" s="80"/>
      <c r="L471" s="80"/>
      <c r="M471" s="80"/>
      <c r="N471" s="80"/>
      <c r="O471" s="80"/>
      <c r="P471" s="80"/>
      <c r="Q471" s="80"/>
      <c r="R471" s="80"/>
      <c r="S471" s="80"/>
      <c r="T471" s="80"/>
      <c r="U471" s="80"/>
      <c r="V471" s="80"/>
      <c r="W471" s="80"/>
      <c r="X471" s="80"/>
      <c r="Y471" s="80"/>
      <c r="Z471" s="80"/>
    </row>
    <row r="472" spans="1:26" x14ac:dyDescent="0.25">
      <c r="A472" s="80"/>
      <c r="B472" s="80"/>
      <c r="C472" s="80"/>
      <c r="D472" s="80"/>
      <c r="E472" s="80"/>
      <c r="F472" s="80"/>
      <c r="G472" s="80"/>
      <c r="H472" s="80"/>
      <c r="I472" s="80"/>
      <c r="J472" s="80"/>
      <c r="K472" s="80"/>
      <c r="L472" s="80"/>
      <c r="M472" s="80"/>
      <c r="N472" s="80"/>
      <c r="O472" s="80"/>
      <c r="P472" s="80"/>
      <c r="Q472" s="80"/>
      <c r="R472" s="80"/>
      <c r="S472" s="80"/>
      <c r="T472" s="80"/>
      <c r="U472" s="80"/>
      <c r="V472" s="80"/>
      <c r="W472" s="80"/>
      <c r="X472" s="80"/>
      <c r="Y472" s="80"/>
      <c r="Z472" s="80"/>
    </row>
    <row r="473" spans="1:26" x14ac:dyDescent="0.25">
      <c r="A473" s="80"/>
      <c r="B473" s="80"/>
      <c r="C473" s="80"/>
      <c r="D473" s="80"/>
      <c r="E473" s="80"/>
      <c r="F473" s="80"/>
      <c r="G473" s="80"/>
      <c r="H473" s="80"/>
      <c r="I473" s="80"/>
      <c r="J473" s="80"/>
      <c r="K473" s="80"/>
      <c r="L473" s="80"/>
      <c r="M473" s="80"/>
      <c r="N473" s="80"/>
      <c r="O473" s="80"/>
      <c r="P473" s="80"/>
      <c r="Q473" s="80"/>
      <c r="R473" s="80"/>
      <c r="S473" s="80"/>
      <c r="T473" s="80"/>
      <c r="U473" s="80"/>
      <c r="V473" s="80"/>
      <c r="W473" s="80"/>
      <c r="X473" s="80"/>
      <c r="Y473" s="80"/>
      <c r="Z473" s="80"/>
    </row>
    <row r="474" spans="1:26" x14ac:dyDescent="0.25">
      <c r="A474" s="80"/>
      <c r="B474" s="80"/>
      <c r="C474" s="80"/>
      <c r="D474" s="80"/>
      <c r="E474" s="80"/>
      <c r="F474" s="80"/>
      <c r="G474" s="80"/>
      <c r="H474" s="80"/>
      <c r="I474" s="80"/>
      <c r="J474" s="80"/>
      <c r="K474" s="80"/>
      <c r="L474" s="80"/>
      <c r="M474" s="80"/>
      <c r="N474" s="80"/>
      <c r="O474" s="80"/>
      <c r="P474" s="80"/>
      <c r="Q474" s="80"/>
      <c r="R474" s="80"/>
      <c r="S474" s="80"/>
      <c r="T474" s="80"/>
      <c r="U474" s="80"/>
      <c r="V474" s="80"/>
      <c r="W474" s="80"/>
      <c r="X474" s="80"/>
      <c r="Y474" s="80"/>
      <c r="Z474" s="80"/>
    </row>
    <row r="475" spans="1:26" x14ac:dyDescent="0.25">
      <c r="A475" s="80"/>
      <c r="B475" s="80"/>
      <c r="C475" s="80"/>
      <c r="D475" s="80"/>
      <c r="E475" s="80"/>
      <c r="F475" s="80"/>
      <c r="G475" s="80"/>
      <c r="H475" s="80"/>
      <c r="I475" s="80"/>
      <c r="J475" s="80"/>
      <c r="K475" s="80"/>
      <c r="L475" s="80"/>
      <c r="M475" s="80"/>
      <c r="N475" s="80"/>
      <c r="O475" s="80"/>
      <c r="P475" s="80"/>
      <c r="Q475" s="80"/>
      <c r="R475" s="80"/>
      <c r="S475" s="80"/>
      <c r="T475" s="80"/>
      <c r="U475" s="80"/>
      <c r="V475" s="80"/>
      <c r="W475" s="80"/>
      <c r="X475" s="80"/>
      <c r="Y475" s="80"/>
      <c r="Z475" s="80"/>
    </row>
    <row r="476" spans="1:26" x14ac:dyDescent="0.25">
      <c r="A476" s="80"/>
      <c r="B476" s="80"/>
      <c r="C476" s="80"/>
      <c r="D476" s="80"/>
      <c r="E476" s="80"/>
      <c r="F476" s="80"/>
      <c r="G476" s="80"/>
      <c r="H476" s="80"/>
      <c r="I476" s="80"/>
      <c r="J476" s="80"/>
      <c r="K476" s="80"/>
      <c r="L476" s="80"/>
      <c r="M476" s="80"/>
      <c r="N476" s="80"/>
      <c r="O476" s="80"/>
      <c r="P476" s="80"/>
      <c r="Q476" s="80"/>
      <c r="R476" s="80"/>
      <c r="S476" s="80"/>
      <c r="T476" s="80"/>
      <c r="U476" s="80"/>
      <c r="V476" s="80"/>
      <c r="W476" s="80"/>
      <c r="X476" s="80"/>
      <c r="Y476" s="80"/>
      <c r="Z476" s="80"/>
    </row>
    <row r="477" spans="1:26" x14ac:dyDescent="0.25">
      <c r="A477" s="80"/>
      <c r="B477" s="80"/>
      <c r="C477" s="80"/>
      <c r="D477" s="80"/>
      <c r="E477" s="80"/>
      <c r="F477" s="80"/>
      <c r="G477" s="80"/>
      <c r="H477" s="80"/>
      <c r="I477" s="80"/>
      <c r="J477" s="80"/>
      <c r="K477" s="80"/>
      <c r="L477" s="80"/>
      <c r="M477" s="80"/>
      <c r="N477" s="80"/>
      <c r="O477" s="80"/>
      <c r="P477" s="80"/>
      <c r="Q477" s="80"/>
      <c r="R477" s="80"/>
      <c r="S477" s="80"/>
      <c r="T477" s="80"/>
      <c r="U477" s="80"/>
      <c r="V477" s="80"/>
      <c r="W477" s="80"/>
      <c r="X477" s="80"/>
      <c r="Y477" s="80"/>
      <c r="Z477" s="80"/>
    </row>
    <row r="478" spans="1:26" x14ac:dyDescent="0.25">
      <c r="A478" s="80"/>
      <c r="B478" s="80"/>
      <c r="C478" s="80"/>
      <c r="D478" s="80"/>
      <c r="E478" s="80"/>
      <c r="F478" s="80"/>
      <c r="G478" s="80"/>
      <c r="H478" s="80"/>
      <c r="I478" s="80"/>
      <c r="J478" s="80"/>
      <c r="K478" s="80"/>
      <c r="L478" s="80"/>
      <c r="M478" s="80"/>
      <c r="N478" s="80"/>
      <c r="O478" s="80"/>
      <c r="P478" s="80"/>
      <c r="Q478" s="80"/>
      <c r="R478" s="80"/>
      <c r="S478" s="80"/>
      <c r="T478" s="80"/>
      <c r="U478" s="80"/>
      <c r="V478" s="80"/>
      <c r="W478" s="80"/>
      <c r="X478" s="80"/>
      <c r="Y478" s="80"/>
      <c r="Z478" s="80"/>
    </row>
    <row r="479" spans="1:26" x14ac:dyDescent="0.25">
      <c r="A479" s="80"/>
      <c r="B479" s="80"/>
      <c r="C479" s="80"/>
      <c r="D479" s="80"/>
      <c r="E479" s="80"/>
      <c r="F479" s="80"/>
      <c r="G479" s="80"/>
      <c r="H479" s="80"/>
      <c r="I479" s="80"/>
      <c r="J479" s="80"/>
      <c r="K479" s="80"/>
      <c r="L479" s="80"/>
      <c r="M479" s="80"/>
      <c r="N479" s="80"/>
      <c r="O479" s="80"/>
      <c r="P479" s="80"/>
      <c r="Q479" s="80"/>
      <c r="R479" s="80"/>
      <c r="S479" s="80"/>
      <c r="T479" s="80"/>
      <c r="U479" s="80"/>
      <c r="V479" s="80"/>
      <c r="W479" s="80"/>
      <c r="X479" s="80"/>
      <c r="Y479" s="80"/>
      <c r="Z479" s="80"/>
    </row>
    <row r="480" spans="1:26" x14ac:dyDescent="0.25">
      <c r="A480" s="80"/>
      <c r="B480" s="80"/>
      <c r="C480" s="80"/>
      <c r="D480" s="80"/>
      <c r="E480" s="80"/>
      <c r="F480" s="80"/>
      <c r="G480" s="80"/>
      <c r="H480" s="80"/>
      <c r="I480" s="80"/>
      <c r="J480" s="80"/>
      <c r="K480" s="80"/>
      <c r="L480" s="80"/>
      <c r="M480" s="80"/>
      <c r="N480" s="80"/>
      <c r="O480" s="80"/>
      <c r="P480" s="80"/>
      <c r="Q480" s="80"/>
      <c r="R480" s="80"/>
      <c r="S480" s="80"/>
      <c r="T480" s="80"/>
      <c r="U480" s="80"/>
      <c r="V480" s="80"/>
      <c r="W480" s="80"/>
      <c r="X480" s="80"/>
      <c r="Y480" s="80"/>
      <c r="Z480" s="80"/>
    </row>
    <row r="481" spans="1:26" x14ac:dyDescent="0.25">
      <c r="A481" s="80"/>
      <c r="B481" s="80"/>
      <c r="C481" s="80"/>
      <c r="D481" s="80"/>
      <c r="E481" s="80"/>
      <c r="F481" s="80"/>
      <c r="G481" s="80"/>
      <c r="H481" s="80"/>
      <c r="I481" s="80"/>
      <c r="J481" s="80"/>
      <c r="K481" s="80"/>
      <c r="L481" s="80"/>
      <c r="M481" s="80"/>
      <c r="N481" s="80"/>
      <c r="O481" s="80"/>
      <c r="P481" s="80"/>
      <c r="Q481" s="80"/>
      <c r="R481" s="80"/>
      <c r="S481" s="80"/>
      <c r="T481" s="80"/>
      <c r="U481" s="80"/>
      <c r="V481" s="80"/>
      <c r="W481" s="80"/>
      <c r="X481" s="80"/>
      <c r="Y481" s="80"/>
      <c r="Z481" s="80"/>
    </row>
    <row r="482" spans="1:26" x14ac:dyDescent="0.25">
      <c r="A482" s="80"/>
      <c r="B482" s="80"/>
      <c r="C482" s="80"/>
      <c r="D482" s="80"/>
      <c r="E482" s="80"/>
      <c r="F482" s="80"/>
      <c r="G482" s="80"/>
      <c r="H482" s="80"/>
      <c r="I482" s="80"/>
      <c r="J482" s="80"/>
      <c r="K482" s="80"/>
      <c r="L482" s="80"/>
      <c r="M482" s="80"/>
      <c r="N482" s="80"/>
      <c r="O482" s="80"/>
      <c r="P482" s="80"/>
      <c r="Q482" s="80"/>
      <c r="R482" s="80"/>
      <c r="S482" s="80"/>
      <c r="T482" s="80"/>
      <c r="U482" s="80"/>
      <c r="V482" s="80"/>
      <c r="W482" s="80"/>
      <c r="X482" s="80"/>
      <c r="Y482" s="80"/>
      <c r="Z482" s="80"/>
    </row>
    <row r="483" spans="1:26" x14ac:dyDescent="0.25">
      <c r="A483" s="80"/>
      <c r="B483" s="80"/>
      <c r="C483" s="80"/>
      <c r="D483" s="80"/>
      <c r="E483" s="80"/>
      <c r="F483" s="80"/>
      <c r="G483" s="80"/>
      <c r="H483" s="80"/>
      <c r="I483" s="80"/>
      <c r="J483" s="80"/>
      <c r="K483" s="80"/>
      <c r="L483" s="80"/>
      <c r="M483" s="80"/>
      <c r="N483" s="80"/>
      <c r="O483" s="80"/>
      <c r="P483" s="80"/>
      <c r="Q483" s="80"/>
      <c r="R483" s="80"/>
      <c r="S483" s="80"/>
      <c r="T483" s="80"/>
      <c r="U483" s="80"/>
      <c r="V483" s="80"/>
      <c r="W483" s="80"/>
      <c r="X483" s="80"/>
      <c r="Y483" s="80"/>
      <c r="Z483" s="80"/>
    </row>
    <row r="484" spans="1:26" x14ac:dyDescent="0.25">
      <c r="A484" s="80"/>
      <c r="B484" s="80"/>
      <c r="C484" s="80"/>
      <c r="D484" s="80"/>
      <c r="E484" s="80"/>
      <c r="F484" s="80"/>
      <c r="G484" s="80"/>
      <c r="H484" s="80"/>
      <c r="I484" s="80"/>
      <c r="J484" s="80"/>
      <c r="K484" s="80"/>
      <c r="L484" s="80"/>
      <c r="M484" s="80"/>
      <c r="N484" s="80"/>
      <c r="O484" s="80"/>
      <c r="P484" s="80"/>
      <c r="Q484" s="80"/>
      <c r="R484" s="80"/>
      <c r="S484" s="80"/>
      <c r="T484" s="80"/>
      <c r="U484" s="80"/>
      <c r="V484" s="80"/>
      <c r="W484" s="80"/>
      <c r="X484" s="80"/>
      <c r="Y484" s="80"/>
      <c r="Z484" s="80"/>
    </row>
    <row r="485" spans="1:26" x14ac:dyDescent="0.25">
      <c r="A485" s="80"/>
      <c r="B485" s="80"/>
      <c r="C485" s="80"/>
      <c r="D485" s="80"/>
      <c r="E485" s="80"/>
      <c r="F485" s="80"/>
      <c r="G485" s="80"/>
      <c r="H485" s="80"/>
      <c r="I485" s="80"/>
      <c r="J485" s="80"/>
      <c r="K485" s="80"/>
      <c r="L485" s="80"/>
      <c r="M485" s="80"/>
      <c r="N485" s="80"/>
      <c r="O485" s="80"/>
      <c r="P485" s="80"/>
      <c r="Q485" s="80"/>
      <c r="R485" s="80"/>
      <c r="S485" s="80"/>
      <c r="T485" s="80"/>
      <c r="U485" s="80"/>
      <c r="V485" s="80"/>
      <c r="W485" s="80"/>
      <c r="X485" s="80"/>
      <c r="Y485" s="80"/>
      <c r="Z485" s="80"/>
    </row>
    <row r="486" spans="1:26" x14ac:dyDescent="0.25">
      <c r="A486" s="80"/>
      <c r="B486" s="80"/>
      <c r="C486" s="80"/>
      <c r="D486" s="80"/>
      <c r="E486" s="80"/>
      <c r="F486" s="80"/>
      <c r="G486" s="80"/>
      <c r="H486" s="80"/>
      <c r="I486" s="80"/>
      <c r="J486" s="80"/>
      <c r="K486" s="80"/>
      <c r="L486" s="80"/>
      <c r="M486" s="80"/>
      <c r="N486" s="80"/>
      <c r="O486" s="80"/>
      <c r="P486" s="80"/>
      <c r="Q486" s="80"/>
      <c r="R486" s="80"/>
      <c r="S486" s="80"/>
      <c r="T486" s="80"/>
      <c r="U486" s="80"/>
      <c r="V486" s="80"/>
      <c r="W486" s="80"/>
      <c r="X486" s="80"/>
      <c r="Y486" s="80"/>
      <c r="Z486" s="80"/>
    </row>
    <row r="487" spans="1:26" x14ac:dyDescent="0.25">
      <c r="A487" s="80"/>
      <c r="B487" s="80"/>
      <c r="C487" s="80"/>
      <c r="D487" s="80"/>
      <c r="E487" s="80"/>
      <c r="F487" s="80"/>
      <c r="G487" s="80"/>
      <c r="H487" s="80"/>
      <c r="I487" s="80"/>
      <c r="J487" s="80"/>
      <c r="K487" s="80"/>
      <c r="L487" s="80"/>
      <c r="M487" s="80"/>
      <c r="N487" s="80"/>
      <c r="O487" s="80"/>
      <c r="P487" s="80"/>
      <c r="Q487" s="80"/>
      <c r="R487" s="80"/>
      <c r="S487" s="80"/>
      <c r="T487" s="80"/>
      <c r="U487" s="80"/>
      <c r="V487" s="80"/>
      <c r="W487" s="80"/>
      <c r="X487" s="80"/>
      <c r="Y487" s="80"/>
      <c r="Z487" s="80"/>
    </row>
    <row r="488" spans="1:26" x14ac:dyDescent="0.25">
      <c r="A488" s="80"/>
      <c r="B488" s="80"/>
      <c r="C488" s="80"/>
      <c r="D488" s="80"/>
      <c r="E488" s="80"/>
      <c r="F488" s="80"/>
      <c r="G488" s="80"/>
      <c r="H488" s="80"/>
      <c r="I488" s="80"/>
      <c r="J488" s="80"/>
      <c r="K488" s="80"/>
      <c r="L488" s="80"/>
      <c r="M488" s="80"/>
      <c r="N488" s="80"/>
      <c r="O488" s="80"/>
      <c r="P488" s="80"/>
      <c r="Q488" s="80"/>
      <c r="R488" s="80"/>
      <c r="S488" s="80"/>
      <c r="T488" s="80"/>
      <c r="U488" s="80"/>
      <c r="V488" s="80"/>
      <c r="W488" s="80"/>
      <c r="X488" s="80"/>
      <c r="Y488" s="80"/>
      <c r="Z488" s="80"/>
    </row>
    <row r="489" spans="1:26" x14ac:dyDescent="0.25">
      <c r="A489" s="80"/>
      <c r="B489" s="80"/>
      <c r="C489" s="80"/>
      <c r="D489" s="80"/>
      <c r="E489" s="80"/>
      <c r="F489" s="80"/>
      <c r="G489" s="80"/>
      <c r="H489" s="80"/>
      <c r="I489" s="80"/>
      <c r="J489" s="80"/>
      <c r="K489" s="80"/>
      <c r="L489" s="80"/>
      <c r="M489" s="80"/>
      <c r="N489" s="80"/>
      <c r="O489" s="80"/>
      <c r="P489" s="80"/>
      <c r="Q489" s="80"/>
      <c r="R489" s="80"/>
      <c r="S489" s="80"/>
      <c r="T489" s="80"/>
      <c r="U489" s="80"/>
      <c r="V489" s="80"/>
      <c r="W489" s="80"/>
      <c r="X489" s="80"/>
      <c r="Y489" s="80"/>
      <c r="Z489" s="80"/>
    </row>
    <row r="490" spans="1:26" x14ac:dyDescent="0.25">
      <c r="A490" s="80"/>
      <c r="B490" s="80"/>
      <c r="C490" s="80"/>
      <c r="D490" s="80"/>
      <c r="E490" s="80"/>
      <c r="F490" s="80"/>
      <c r="G490" s="80"/>
      <c r="H490" s="80"/>
      <c r="I490" s="80"/>
      <c r="J490" s="80"/>
      <c r="K490" s="80"/>
      <c r="L490" s="80"/>
      <c r="M490" s="80"/>
      <c r="N490" s="80"/>
      <c r="O490" s="80"/>
      <c r="P490" s="80"/>
      <c r="Q490" s="80"/>
      <c r="R490" s="80"/>
      <c r="S490" s="80"/>
      <c r="T490" s="80"/>
      <c r="U490" s="80"/>
      <c r="V490" s="80"/>
      <c r="W490" s="80"/>
      <c r="X490" s="80"/>
      <c r="Y490" s="80"/>
      <c r="Z490" s="80"/>
    </row>
    <row r="491" spans="1:26" x14ac:dyDescent="0.25">
      <c r="A491" s="80"/>
      <c r="B491" s="80"/>
      <c r="C491" s="80"/>
      <c r="D491" s="80"/>
      <c r="E491" s="80"/>
      <c r="F491" s="80"/>
      <c r="G491" s="80"/>
      <c r="H491" s="80"/>
      <c r="I491" s="80"/>
      <c r="J491" s="80"/>
      <c r="K491" s="80"/>
      <c r="L491" s="80"/>
      <c r="M491" s="80"/>
      <c r="N491" s="80"/>
      <c r="O491" s="80"/>
      <c r="P491" s="80"/>
      <c r="Q491" s="80"/>
      <c r="R491" s="80"/>
      <c r="S491" s="80"/>
      <c r="T491" s="80"/>
      <c r="U491" s="80"/>
      <c r="V491" s="80"/>
      <c r="W491" s="80"/>
      <c r="X491" s="80"/>
      <c r="Y491" s="80"/>
      <c r="Z491" s="80"/>
    </row>
    <row r="492" spans="1:26" x14ac:dyDescent="0.25">
      <c r="A492" s="80"/>
      <c r="B492" s="80"/>
      <c r="C492" s="80"/>
      <c r="D492" s="80"/>
      <c r="E492" s="80"/>
      <c r="F492" s="80"/>
      <c r="G492" s="80"/>
      <c r="H492" s="80"/>
      <c r="I492" s="80"/>
      <c r="J492" s="80"/>
      <c r="K492" s="80"/>
      <c r="L492" s="80"/>
      <c r="M492" s="80"/>
      <c r="N492" s="80"/>
      <c r="O492" s="80"/>
      <c r="P492" s="80"/>
      <c r="Q492" s="80"/>
      <c r="R492" s="80"/>
      <c r="S492" s="80"/>
      <c r="T492" s="80"/>
      <c r="U492" s="80"/>
      <c r="V492" s="80"/>
      <c r="W492" s="80"/>
      <c r="X492" s="80"/>
      <c r="Y492" s="80"/>
      <c r="Z492" s="80"/>
    </row>
    <row r="493" spans="1:26" x14ac:dyDescent="0.25">
      <c r="A493" s="80"/>
      <c r="B493" s="80"/>
      <c r="C493" s="80"/>
      <c r="D493" s="80"/>
      <c r="E493" s="80"/>
      <c r="F493" s="80"/>
      <c r="G493" s="80"/>
      <c r="H493" s="80"/>
      <c r="I493" s="80"/>
      <c r="J493" s="80"/>
      <c r="K493" s="80"/>
      <c r="L493" s="80"/>
      <c r="M493" s="80"/>
      <c r="N493" s="80"/>
      <c r="O493" s="80"/>
      <c r="P493" s="80"/>
      <c r="Q493" s="80"/>
      <c r="R493" s="80"/>
      <c r="S493" s="80"/>
      <c r="T493" s="80"/>
      <c r="U493" s="80"/>
      <c r="V493" s="80"/>
      <c r="W493" s="80"/>
      <c r="X493" s="80"/>
      <c r="Y493" s="80"/>
      <c r="Z493" s="80"/>
    </row>
    <row r="494" spans="1:26" x14ac:dyDescent="0.25">
      <c r="A494" s="80"/>
      <c r="B494" s="80"/>
      <c r="C494" s="80"/>
      <c r="D494" s="80"/>
      <c r="E494" s="80"/>
      <c r="F494" s="80"/>
      <c r="G494" s="80"/>
      <c r="H494" s="80"/>
      <c r="I494" s="80"/>
      <c r="J494" s="80"/>
      <c r="K494" s="80"/>
      <c r="L494" s="80"/>
      <c r="M494" s="80"/>
      <c r="N494" s="80"/>
      <c r="O494" s="80"/>
      <c r="P494" s="80"/>
      <c r="Q494" s="80"/>
      <c r="R494" s="80"/>
      <c r="S494" s="80"/>
      <c r="T494" s="80"/>
      <c r="U494" s="80"/>
      <c r="V494" s="80"/>
      <c r="W494" s="80"/>
      <c r="X494" s="80"/>
      <c r="Y494" s="80"/>
      <c r="Z494" s="80"/>
    </row>
    <row r="495" spans="1:26" x14ac:dyDescent="0.25">
      <c r="A495" s="80"/>
      <c r="B495" s="80"/>
      <c r="C495" s="80"/>
      <c r="D495" s="80"/>
      <c r="E495" s="80"/>
      <c r="F495" s="80"/>
      <c r="G495" s="80"/>
      <c r="H495" s="80"/>
      <c r="I495" s="80"/>
      <c r="J495" s="80"/>
      <c r="K495" s="80"/>
      <c r="L495" s="80"/>
      <c r="M495" s="80"/>
      <c r="N495" s="80"/>
      <c r="O495" s="80"/>
      <c r="P495" s="80"/>
      <c r="Q495" s="80"/>
      <c r="R495" s="80"/>
      <c r="S495" s="80"/>
      <c r="T495" s="80"/>
      <c r="U495" s="80"/>
      <c r="V495" s="80"/>
      <c r="W495" s="80"/>
      <c r="X495" s="80"/>
      <c r="Y495" s="80"/>
      <c r="Z495" s="80"/>
    </row>
    <row r="496" spans="1:26" x14ac:dyDescent="0.25">
      <c r="A496" s="80"/>
      <c r="B496" s="80"/>
      <c r="C496" s="80"/>
      <c r="D496" s="80"/>
      <c r="E496" s="80"/>
      <c r="F496" s="80"/>
      <c r="G496" s="80"/>
      <c r="H496" s="80"/>
      <c r="I496" s="80"/>
      <c r="J496" s="80"/>
      <c r="K496" s="80"/>
      <c r="L496" s="80"/>
      <c r="M496" s="80"/>
      <c r="N496" s="80"/>
      <c r="O496" s="80"/>
      <c r="P496" s="80"/>
      <c r="Q496" s="80"/>
      <c r="R496" s="80"/>
      <c r="S496" s="80"/>
      <c r="T496" s="80"/>
      <c r="U496" s="80"/>
      <c r="V496" s="80"/>
      <c r="W496" s="80"/>
      <c r="X496" s="80"/>
      <c r="Y496" s="80"/>
      <c r="Z496" s="80"/>
    </row>
    <row r="497" spans="1:26" x14ac:dyDescent="0.25">
      <c r="A497" s="80"/>
      <c r="B497" s="80"/>
      <c r="C497" s="80"/>
      <c r="D497" s="80"/>
      <c r="E497" s="80"/>
      <c r="F497" s="80"/>
      <c r="G497" s="80"/>
      <c r="H497" s="80"/>
      <c r="I497" s="80"/>
      <c r="J497" s="80"/>
      <c r="K497" s="80"/>
      <c r="L497" s="80"/>
      <c r="M497" s="80"/>
      <c r="N497" s="80"/>
      <c r="O497" s="80"/>
      <c r="P497" s="80"/>
      <c r="Q497" s="80"/>
      <c r="R497" s="80"/>
      <c r="S497" s="80"/>
      <c r="T497" s="80"/>
      <c r="U497" s="80"/>
      <c r="V497" s="80"/>
      <c r="W497" s="80"/>
      <c r="X497" s="80"/>
      <c r="Y497" s="80"/>
      <c r="Z497" s="80"/>
    </row>
    <row r="498" spans="1:26" x14ac:dyDescent="0.25">
      <c r="A498" s="80"/>
      <c r="B498" s="80"/>
      <c r="C498" s="80"/>
      <c r="D498" s="80"/>
      <c r="E498" s="80"/>
      <c r="F498" s="80"/>
      <c r="G498" s="80"/>
      <c r="H498" s="80"/>
      <c r="I498" s="80"/>
      <c r="J498" s="80"/>
      <c r="K498" s="80"/>
      <c r="L498" s="80"/>
      <c r="M498" s="80"/>
      <c r="N498" s="80"/>
      <c r="O498" s="80"/>
      <c r="P498" s="80"/>
      <c r="Q498" s="80"/>
      <c r="R498" s="80"/>
      <c r="S498" s="80"/>
      <c r="T498" s="80"/>
      <c r="U498" s="80"/>
      <c r="V498" s="80"/>
      <c r="W498" s="80"/>
      <c r="X498" s="80"/>
      <c r="Y498" s="80"/>
      <c r="Z498" s="80"/>
    </row>
    <row r="499" spans="1:26" x14ac:dyDescent="0.25">
      <c r="A499" s="80"/>
      <c r="B499" s="80"/>
      <c r="C499" s="80"/>
      <c r="D499" s="80"/>
      <c r="E499" s="80"/>
      <c r="F499" s="80"/>
      <c r="G499" s="80"/>
      <c r="H499" s="80"/>
      <c r="I499" s="80"/>
      <c r="J499" s="80"/>
      <c r="K499" s="80"/>
      <c r="L499" s="80"/>
      <c r="M499" s="80"/>
      <c r="N499" s="80"/>
      <c r="O499" s="80"/>
      <c r="P499" s="80"/>
      <c r="Q499" s="80"/>
      <c r="R499" s="80"/>
      <c r="S499" s="80"/>
      <c r="T499" s="80"/>
      <c r="U499" s="80"/>
      <c r="V499" s="80"/>
      <c r="W499" s="80"/>
      <c r="X499" s="80"/>
      <c r="Y499" s="80"/>
      <c r="Z499" s="80"/>
    </row>
    <row r="500" spans="1:26" x14ac:dyDescent="0.25">
      <c r="A500" s="80"/>
      <c r="B500" s="80"/>
      <c r="C500" s="80"/>
      <c r="D500" s="80"/>
      <c r="E500" s="80"/>
      <c r="F500" s="80"/>
      <c r="G500" s="80"/>
      <c r="H500" s="80"/>
      <c r="I500" s="80"/>
      <c r="J500" s="80"/>
      <c r="K500" s="80"/>
      <c r="L500" s="80"/>
      <c r="M500" s="80"/>
      <c r="N500" s="80"/>
      <c r="O500" s="80"/>
      <c r="P500" s="80"/>
      <c r="Q500" s="80"/>
      <c r="R500" s="80"/>
      <c r="S500" s="80"/>
      <c r="T500" s="80"/>
      <c r="U500" s="80"/>
      <c r="V500" s="80"/>
      <c r="W500" s="80"/>
      <c r="X500" s="80"/>
      <c r="Y500" s="80"/>
      <c r="Z500" s="80"/>
    </row>
  </sheetData>
  <pageMargins left="0.7" right="0.7" top="0.75" bottom="0.75" header="0.3" footer="0.3"/>
  <pageSetup orientation="portrait" r:id="rId1"/>
  <headerFooter>
    <oddFooter>&amp;C&amp;1#&amp;"Calibri"&amp;10 Schlumberger-Private</oddFoot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0">
    <pageSetUpPr fitToPage="1"/>
  </sheetPr>
  <dimension ref="A1:N200"/>
  <sheetViews>
    <sheetView zoomScale="85" zoomScaleNormal="85" workbookViewId="0">
      <selection sqref="A1:N28"/>
    </sheetView>
  </sheetViews>
  <sheetFormatPr defaultRowHeight="15.75" x14ac:dyDescent="0.25"/>
  <cols>
    <col min="1" max="1" width="14.28515625" style="45" customWidth="1"/>
    <col min="2" max="2" width="35.140625" style="130" customWidth="1"/>
    <col min="3" max="3" width="13.7109375" style="20" customWidth="1"/>
    <col min="4" max="4" width="15.85546875" customWidth="1"/>
    <col min="5" max="5" width="18" customWidth="1"/>
    <col min="6" max="6" width="17.28515625" customWidth="1"/>
    <col min="7" max="7" width="17.42578125" customWidth="1"/>
    <col min="8" max="8" width="15.42578125" customWidth="1"/>
    <col min="9" max="9" width="19.5703125" customWidth="1"/>
    <col min="10" max="10" width="23.7109375" style="39" customWidth="1"/>
    <col min="11" max="11" width="21.7109375" customWidth="1"/>
    <col min="12" max="12" width="20.7109375" customWidth="1"/>
    <col min="13" max="13" width="16.42578125" style="42" customWidth="1"/>
    <col min="14" max="14" width="34.42578125" customWidth="1"/>
  </cols>
  <sheetData>
    <row r="1" spans="1:14" ht="46.5" x14ac:dyDescent="0.25">
      <c r="A1" s="177" t="s">
        <v>145</v>
      </c>
      <c r="B1" s="177"/>
      <c r="C1" s="177"/>
      <c r="D1" s="177"/>
      <c r="E1" s="177"/>
      <c r="F1" s="177"/>
      <c r="G1" s="177"/>
      <c r="H1" s="177"/>
      <c r="I1" s="177"/>
      <c r="J1" s="177"/>
      <c r="K1" s="177"/>
      <c r="L1" s="177"/>
      <c r="M1" s="178">
        <v>43469</v>
      </c>
      <c r="N1" s="178"/>
    </row>
    <row r="2" spans="1:14" ht="26.25" x14ac:dyDescent="0.25">
      <c r="A2" s="179" t="s">
        <v>594</v>
      </c>
      <c r="B2" s="179"/>
      <c r="C2" s="179"/>
      <c r="D2" s="179"/>
      <c r="E2" s="179"/>
      <c r="F2" s="179"/>
      <c r="G2" s="179"/>
      <c r="H2" s="179"/>
      <c r="I2" s="179"/>
      <c r="J2" s="179"/>
      <c r="K2" s="179"/>
      <c r="L2" s="179"/>
      <c r="M2" s="179"/>
      <c r="N2" s="179"/>
    </row>
    <row r="3" spans="1:14" ht="37.5" x14ac:dyDescent="0.25">
      <c r="A3" s="69" t="s">
        <v>881</v>
      </c>
      <c r="B3" s="69" t="s">
        <v>8</v>
      </c>
      <c r="C3" s="69" t="s">
        <v>11</v>
      </c>
      <c r="D3" s="69" t="s">
        <v>1023</v>
      </c>
      <c r="E3" s="69" t="s">
        <v>1024</v>
      </c>
      <c r="F3" s="69" t="s">
        <v>7</v>
      </c>
      <c r="G3" s="69" t="s">
        <v>1025</v>
      </c>
      <c r="H3" s="69" t="s">
        <v>154</v>
      </c>
      <c r="I3" s="69" t="s">
        <v>1026</v>
      </c>
      <c r="J3" s="69" t="s">
        <v>463</v>
      </c>
      <c r="K3" s="69" t="s">
        <v>9</v>
      </c>
      <c r="L3" s="69" t="s">
        <v>97</v>
      </c>
      <c r="M3" s="69" t="s">
        <v>10</v>
      </c>
      <c r="N3" s="69" t="s">
        <v>96</v>
      </c>
    </row>
    <row r="4" spans="1:14" ht="150" customHeight="1" x14ac:dyDescent="0.25">
      <c r="A4" s="43" t="s">
        <v>649</v>
      </c>
      <c r="B4" s="128" t="s">
        <v>1031</v>
      </c>
      <c r="C4" s="64" t="s">
        <v>18</v>
      </c>
      <c r="D4" s="32" t="s">
        <v>17</v>
      </c>
      <c r="E4" s="32">
        <v>43159</v>
      </c>
      <c r="F4" s="32" t="s">
        <v>79</v>
      </c>
      <c r="G4" s="127">
        <v>310</v>
      </c>
      <c r="H4" s="31" t="s">
        <v>393</v>
      </c>
      <c r="I4" s="64" t="s">
        <v>383</v>
      </c>
      <c r="J4" s="66" t="s">
        <v>464</v>
      </c>
      <c r="K4" s="33" t="s">
        <v>413</v>
      </c>
      <c r="L4" s="33" t="s">
        <v>1007</v>
      </c>
      <c r="M4" s="40" t="s">
        <v>993</v>
      </c>
      <c r="N4" s="33" t="s">
        <v>1032</v>
      </c>
    </row>
    <row r="5" spans="1:14" ht="150" customHeight="1" x14ac:dyDescent="0.25">
      <c r="A5" s="43" t="s">
        <v>670</v>
      </c>
      <c r="B5" s="128" t="s">
        <v>671</v>
      </c>
      <c r="C5" s="64" t="s">
        <v>18</v>
      </c>
      <c r="D5" s="32" t="s">
        <v>136</v>
      </c>
      <c r="E5" s="32">
        <v>43172</v>
      </c>
      <c r="F5" s="32" t="s">
        <v>79</v>
      </c>
      <c r="G5" s="127">
        <v>297</v>
      </c>
      <c r="H5" s="31" t="s">
        <v>171</v>
      </c>
      <c r="I5" s="64" t="s">
        <v>669</v>
      </c>
      <c r="J5" s="66" t="s">
        <v>464</v>
      </c>
      <c r="K5" s="33" t="s">
        <v>59</v>
      </c>
      <c r="L5" s="33" t="s">
        <v>1012</v>
      </c>
      <c r="M5" s="40" t="s">
        <v>991</v>
      </c>
      <c r="N5" s="33" t="s">
        <v>1041</v>
      </c>
    </row>
    <row r="6" spans="1:14" ht="150" customHeight="1" x14ac:dyDescent="0.25">
      <c r="A6" s="43" t="s">
        <v>737</v>
      </c>
      <c r="B6" s="128" t="s">
        <v>738</v>
      </c>
      <c r="C6" s="64" t="s">
        <v>18</v>
      </c>
      <c r="D6" s="32" t="s">
        <v>441</v>
      </c>
      <c r="E6" s="32">
        <v>43196</v>
      </c>
      <c r="F6" s="32" t="s">
        <v>79</v>
      </c>
      <c r="G6" s="127">
        <v>273</v>
      </c>
      <c r="H6" s="31" t="s">
        <v>174</v>
      </c>
      <c r="I6" s="64" t="s">
        <v>387</v>
      </c>
      <c r="J6" s="66" t="s">
        <v>508</v>
      </c>
      <c r="K6" s="33" t="s">
        <v>1022</v>
      </c>
      <c r="L6" s="33" t="s">
        <v>1542</v>
      </c>
      <c r="M6" s="40" t="s">
        <v>995</v>
      </c>
      <c r="N6" s="33" t="s">
        <v>839</v>
      </c>
    </row>
    <row r="7" spans="1:14" ht="150" customHeight="1" x14ac:dyDescent="0.25">
      <c r="A7" s="43" t="s">
        <v>760</v>
      </c>
      <c r="B7" s="128" t="s">
        <v>761</v>
      </c>
      <c r="C7" s="64" t="s">
        <v>18</v>
      </c>
      <c r="D7" s="32" t="s">
        <v>16</v>
      </c>
      <c r="E7" s="32">
        <v>43209</v>
      </c>
      <c r="F7" s="32" t="s">
        <v>79</v>
      </c>
      <c r="G7" s="127">
        <v>260</v>
      </c>
      <c r="H7" s="31" t="s">
        <v>172</v>
      </c>
      <c r="I7" s="64" t="s">
        <v>1387</v>
      </c>
      <c r="J7" s="66" t="s">
        <v>464</v>
      </c>
      <c r="K7" s="33" t="s">
        <v>1022</v>
      </c>
      <c r="L7" s="33" t="s">
        <v>65</v>
      </c>
      <c r="M7" s="40" t="s">
        <v>68</v>
      </c>
      <c r="N7" s="33" t="s">
        <v>1778</v>
      </c>
    </row>
    <row r="8" spans="1:14" ht="150" customHeight="1" x14ac:dyDescent="0.25">
      <c r="A8" s="43" t="s">
        <v>804</v>
      </c>
      <c r="B8" s="128" t="s">
        <v>805</v>
      </c>
      <c r="C8" s="64" t="s">
        <v>18</v>
      </c>
      <c r="D8" s="32" t="s">
        <v>109</v>
      </c>
      <c r="E8" s="32">
        <v>43224</v>
      </c>
      <c r="F8" s="32" t="s">
        <v>79</v>
      </c>
      <c r="G8" s="127">
        <v>245</v>
      </c>
      <c r="H8" s="31" t="s">
        <v>183</v>
      </c>
      <c r="I8" s="64" t="s">
        <v>387</v>
      </c>
      <c r="J8" s="66" t="s">
        <v>508</v>
      </c>
      <c r="K8" s="33" t="s">
        <v>59</v>
      </c>
      <c r="L8" s="33" t="s">
        <v>285</v>
      </c>
      <c r="M8" s="40" t="s">
        <v>285</v>
      </c>
      <c r="N8" s="33" t="s">
        <v>1038</v>
      </c>
    </row>
    <row r="9" spans="1:14" ht="150" customHeight="1" x14ac:dyDescent="0.25">
      <c r="A9" s="43" t="s">
        <v>835</v>
      </c>
      <c r="B9" s="128" t="s">
        <v>836</v>
      </c>
      <c r="C9" s="64" t="s">
        <v>18</v>
      </c>
      <c r="D9" s="32" t="s">
        <v>108</v>
      </c>
      <c r="E9" s="32">
        <v>43231</v>
      </c>
      <c r="F9" s="32" t="s">
        <v>79</v>
      </c>
      <c r="G9" s="127">
        <v>238</v>
      </c>
      <c r="H9" s="31" t="s">
        <v>182</v>
      </c>
      <c r="I9" s="64" t="s">
        <v>1544</v>
      </c>
      <c r="J9" s="66" t="s">
        <v>464</v>
      </c>
      <c r="K9" s="33" t="s">
        <v>1021</v>
      </c>
      <c r="L9" s="33" t="s">
        <v>1012</v>
      </c>
      <c r="M9" s="40" t="s">
        <v>991</v>
      </c>
      <c r="N9" s="33" t="s">
        <v>1543</v>
      </c>
    </row>
    <row r="10" spans="1:14" ht="150" customHeight="1" x14ac:dyDescent="0.25">
      <c r="A10" s="43" t="s">
        <v>903</v>
      </c>
      <c r="B10" s="128" t="s">
        <v>906</v>
      </c>
      <c r="C10" s="64" t="s">
        <v>18</v>
      </c>
      <c r="D10" s="32" t="s">
        <v>108</v>
      </c>
      <c r="E10" s="32">
        <v>43266</v>
      </c>
      <c r="F10" s="32" t="s">
        <v>79</v>
      </c>
      <c r="G10" s="127">
        <v>203</v>
      </c>
      <c r="H10" s="31" t="s">
        <v>182</v>
      </c>
      <c r="I10" s="64" t="s">
        <v>533</v>
      </c>
      <c r="J10" s="66" t="s">
        <v>464</v>
      </c>
      <c r="K10" s="33" t="s">
        <v>59</v>
      </c>
      <c r="L10" s="33" t="s">
        <v>285</v>
      </c>
      <c r="M10" s="40" t="s">
        <v>285</v>
      </c>
      <c r="N10" s="33" t="s">
        <v>1046</v>
      </c>
    </row>
    <row r="11" spans="1:14" ht="150" customHeight="1" x14ac:dyDescent="0.25">
      <c r="A11" s="43" t="s">
        <v>904</v>
      </c>
      <c r="B11" s="128" t="s">
        <v>907</v>
      </c>
      <c r="C11" s="64" t="s">
        <v>18</v>
      </c>
      <c r="D11" s="32" t="s">
        <v>108</v>
      </c>
      <c r="E11" s="32">
        <v>43266</v>
      </c>
      <c r="F11" s="32" t="s">
        <v>79</v>
      </c>
      <c r="G11" s="127">
        <v>203</v>
      </c>
      <c r="H11" s="31" t="s">
        <v>180</v>
      </c>
      <c r="I11" s="64" t="s">
        <v>84</v>
      </c>
      <c r="J11" s="66" t="s">
        <v>464</v>
      </c>
      <c r="K11" s="33" t="s">
        <v>1022</v>
      </c>
      <c r="L11" s="33" t="s">
        <v>1012</v>
      </c>
      <c r="M11" s="40" t="s">
        <v>995</v>
      </c>
      <c r="N11" s="33" t="s">
        <v>1638</v>
      </c>
    </row>
    <row r="12" spans="1:14" ht="150" customHeight="1" x14ac:dyDescent="0.25">
      <c r="A12" s="43" t="s">
        <v>1056</v>
      </c>
      <c r="B12" s="128" t="s">
        <v>1057</v>
      </c>
      <c r="C12" s="64" t="s">
        <v>18</v>
      </c>
      <c r="D12" s="32" t="s">
        <v>16</v>
      </c>
      <c r="E12" s="32">
        <v>43294</v>
      </c>
      <c r="F12" s="32" t="s">
        <v>79</v>
      </c>
      <c r="G12" s="127">
        <v>175</v>
      </c>
      <c r="H12" s="31" t="s">
        <v>172</v>
      </c>
      <c r="I12" s="64" t="s">
        <v>421</v>
      </c>
      <c r="J12" s="66" t="s">
        <v>464</v>
      </c>
      <c r="K12" s="33" t="s">
        <v>285</v>
      </c>
      <c r="L12" s="33" t="s">
        <v>1012</v>
      </c>
      <c r="M12" s="40" t="s">
        <v>285</v>
      </c>
      <c r="N12" s="33" t="s">
        <v>1219</v>
      </c>
    </row>
    <row r="13" spans="1:14" ht="150" customHeight="1" x14ac:dyDescent="0.25">
      <c r="A13" s="46" t="s">
        <v>1078</v>
      </c>
      <c r="B13" s="128" t="s">
        <v>1079</v>
      </c>
      <c r="C13" s="64" t="s">
        <v>18</v>
      </c>
      <c r="D13" s="32" t="s">
        <v>108</v>
      </c>
      <c r="E13" s="32">
        <v>43307</v>
      </c>
      <c r="F13" s="32" t="s">
        <v>79</v>
      </c>
      <c r="G13" s="127">
        <v>162</v>
      </c>
      <c r="H13" s="31" t="s">
        <v>577</v>
      </c>
      <c r="I13" s="64" t="s">
        <v>84</v>
      </c>
      <c r="J13" s="66" t="s">
        <v>464</v>
      </c>
      <c r="K13" s="33" t="s">
        <v>1022</v>
      </c>
      <c r="L13" s="33" t="s">
        <v>1013</v>
      </c>
      <c r="M13" s="40" t="s">
        <v>285</v>
      </c>
      <c r="N13" s="33" t="s">
        <v>1639</v>
      </c>
    </row>
    <row r="14" spans="1:14" ht="150" customHeight="1" x14ac:dyDescent="0.25">
      <c r="A14" s="43" t="s">
        <v>1082</v>
      </c>
      <c r="B14" s="128" t="s">
        <v>1083</v>
      </c>
      <c r="C14" s="64" t="s">
        <v>18</v>
      </c>
      <c r="D14" s="32" t="s">
        <v>17</v>
      </c>
      <c r="E14" s="32">
        <v>43308</v>
      </c>
      <c r="F14" s="32" t="s">
        <v>79</v>
      </c>
      <c r="G14" s="127">
        <v>161</v>
      </c>
      <c r="H14" s="31" t="s">
        <v>862</v>
      </c>
      <c r="I14" s="64" t="s">
        <v>1080</v>
      </c>
      <c r="J14" s="66" t="s">
        <v>464</v>
      </c>
      <c r="K14" s="33" t="s">
        <v>413</v>
      </c>
      <c r="L14" s="33" t="s">
        <v>150</v>
      </c>
      <c r="M14" s="40" t="s">
        <v>999</v>
      </c>
      <c r="N14" s="33" t="s">
        <v>1084</v>
      </c>
    </row>
    <row r="15" spans="1:14" ht="150" customHeight="1" x14ac:dyDescent="0.25">
      <c r="A15" s="43" t="s">
        <v>1151</v>
      </c>
      <c r="B15" s="128" t="s">
        <v>1152</v>
      </c>
      <c r="C15" s="64" t="s">
        <v>18</v>
      </c>
      <c r="D15" s="32" t="s">
        <v>16</v>
      </c>
      <c r="E15" s="32">
        <v>43334</v>
      </c>
      <c r="F15" s="32" t="s">
        <v>79</v>
      </c>
      <c r="G15" s="127">
        <v>135</v>
      </c>
      <c r="H15" s="31" t="s">
        <v>176</v>
      </c>
      <c r="I15" s="64" t="s">
        <v>421</v>
      </c>
      <c r="J15" s="66" t="s">
        <v>464</v>
      </c>
      <c r="K15" s="33" t="s">
        <v>1022</v>
      </c>
      <c r="L15" s="33" t="s">
        <v>65</v>
      </c>
      <c r="M15" s="40" t="s">
        <v>991</v>
      </c>
      <c r="N15" s="33" t="s">
        <v>1153</v>
      </c>
    </row>
    <row r="16" spans="1:14" ht="150" customHeight="1" x14ac:dyDescent="0.25">
      <c r="A16" s="43" t="s">
        <v>1232</v>
      </c>
      <c r="B16" s="128" t="s">
        <v>1233</v>
      </c>
      <c r="C16" s="64" t="s">
        <v>18</v>
      </c>
      <c r="D16" s="32" t="s">
        <v>16</v>
      </c>
      <c r="E16" s="32">
        <v>43355</v>
      </c>
      <c r="F16" s="32" t="s">
        <v>79</v>
      </c>
      <c r="G16" s="127">
        <v>114</v>
      </c>
      <c r="H16" s="31" t="s">
        <v>172</v>
      </c>
      <c r="I16" s="64" t="s">
        <v>461</v>
      </c>
      <c r="J16" s="66" t="s">
        <v>341</v>
      </c>
      <c r="K16" s="33" t="s">
        <v>1021</v>
      </c>
      <c r="L16" s="33" t="s">
        <v>1547</v>
      </c>
      <c r="M16" s="40" t="s">
        <v>1016</v>
      </c>
      <c r="N16" s="33" t="s">
        <v>1049</v>
      </c>
    </row>
    <row r="17" spans="1:14" ht="150" customHeight="1" x14ac:dyDescent="0.25">
      <c r="A17" s="43" t="s">
        <v>1611</v>
      </c>
      <c r="B17" s="128" t="s">
        <v>1612</v>
      </c>
      <c r="C17" s="64" t="s">
        <v>18</v>
      </c>
      <c r="D17" s="32" t="s">
        <v>1166</v>
      </c>
      <c r="E17" s="32">
        <v>43363</v>
      </c>
      <c r="F17" s="32" t="s">
        <v>79</v>
      </c>
      <c r="G17" s="127">
        <v>106</v>
      </c>
      <c r="H17" s="31" t="s">
        <v>657</v>
      </c>
      <c r="I17" s="64" t="s">
        <v>1613</v>
      </c>
      <c r="J17" s="66" t="s">
        <v>1784</v>
      </c>
      <c r="K17" s="33" t="s">
        <v>59</v>
      </c>
      <c r="L17" s="33" t="s">
        <v>1012</v>
      </c>
      <c r="M17" s="40" t="s">
        <v>995</v>
      </c>
      <c r="N17" s="33" t="s">
        <v>1785</v>
      </c>
    </row>
    <row r="18" spans="1:14" ht="150" customHeight="1" x14ac:dyDescent="0.25">
      <c r="A18" s="43" t="s">
        <v>1625</v>
      </c>
      <c r="B18" s="128" t="s">
        <v>1626</v>
      </c>
      <c r="C18" s="64" t="s">
        <v>18</v>
      </c>
      <c r="D18" s="32" t="s">
        <v>1166</v>
      </c>
      <c r="E18" s="32">
        <v>43367</v>
      </c>
      <c r="F18" s="32" t="s">
        <v>79</v>
      </c>
      <c r="G18" s="127">
        <v>102</v>
      </c>
      <c r="H18" s="31" t="s">
        <v>657</v>
      </c>
      <c r="I18" s="64" t="s">
        <v>1613</v>
      </c>
      <c r="J18" s="66" t="s">
        <v>1784</v>
      </c>
      <c r="K18" s="33" t="s">
        <v>1591</v>
      </c>
      <c r="L18" s="33" t="s">
        <v>1012</v>
      </c>
      <c r="M18" s="40" t="s">
        <v>995</v>
      </c>
      <c r="N18" s="33" t="s">
        <v>1786</v>
      </c>
    </row>
    <row r="19" spans="1:14" ht="150" customHeight="1" x14ac:dyDescent="0.25">
      <c r="A19" s="43" t="s">
        <v>1633</v>
      </c>
      <c r="B19" s="128" t="s">
        <v>1634</v>
      </c>
      <c r="C19" s="64" t="s">
        <v>18</v>
      </c>
      <c r="D19" s="32" t="s">
        <v>611</v>
      </c>
      <c r="E19" s="32">
        <v>43369</v>
      </c>
      <c r="F19" s="32" t="s">
        <v>79</v>
      </c>
      <c r="G19" s="127">
        <v>100</v>
      </c>
      <c r="H19" s="31" t="s">
        <v>159</v>
      </c>
      <c r="I19" s="64" t="s">
        <v>1635</v>
      </c>
      <c r="J19" s="66" t="s">
        <v>464</v>
      </c>
      <c r="K19" s="33" t="s">
        <v>285</v>
      </c>
      <c r="L19" s="33" t="s">
        <v>1636</v>
      </c>
      <c r="M19" s="40" t="s">
        <v>285</v>
      </c>
      <c r="N19" s="33" t="s">
        <v>1637</v>
      </c>
    </row>
    <row r="20" spans="1:14" ht="150" customHeight="1" x14ac:dyDescent="0.25">
      <c r="A20" s="43" t="s">
        <v>1668</v>
      </c>
      <c r="B20" s="128" t="s">
        <v>1669</v>
      </c>
      <c r="C20" s="64" t="s">
        <v>18</v>
      </c>
      <c r="D20" s="32" t="s">
        <v>611</v>
      </c>
      <c r="E20" s="32">
        <v>43375</v>
      </c>
      <c r="F20" s="32" t="s">
        <v>79</v>
      </c>
      <c r="G20" s="127">
        <v>94</v>
      </c>
      <c r="H20" s="31" t="s">
        <v>158</v>
      </c>
      <c r="I20" s="64" t="s">
        <v>1661</v>
      </c>
      <c r="J20" s="66" t="s">
        <v>464</v>
      </c>
      <c r="K20" s="33" t="s">
        <v>1022</v>
      </c>
      <c r="L20" s="33" t="s">
        <v>1673</v>
      </c>
      <c r="M20" s="40" t="s">
        <v>285</v>
      </c>
      <c r="N20" s="33" t="s">
        <v>1741</v>
      </c>
    </row>
    <row r="21" spans="1:14" ht="150" customHeight="1" x14ac:dyDescent="0.25">
      <c r="A21" s="43" t="s">
        <v>1763</v>
      </c>
      <c r="B21" s="128" t="s">
        <v>1764</v>
      </c>
      <c r="C21" s="64" t="s">
        <v>18</v>
      </c>
      <c r="D21" s="32" t="s">
        <v>16</v>
      </c>
      <c r="E21" s="32">
        <v>43451</v>
      </c>
      <c r="F21" s="32" t="s">
        <v>79</v>
      </c>
      <c r="G21" s="127">
        <v>18</v>
      </c>
      <c r="H21" s="31" t="s">
        <v>176</v>
      </c>
      <c r="I21" s="64" t="s">
        <v>926</v>
      </c>
      <c r="J21" s="66" t="s">
        <v>464</v>
      </c>
      <c r="K21" s="33" t="s">
        <v>285</v>
      </c>
      <c r="L21" s="33" t="s">
        <v>1765</v>
      </c>
      <c r="M21" s="40" t="s">
        <v>285</v>
      </c>
      <c r="N21" s="33" t="s">
        <v>1827</v>
      </c>
    </row>
    <row r="22" spans="1:14" ht="150" customHeight="1" x14ac:dyDescent="0.25">
      <c r="A22" s="43" t="s">
        <v>1773</v>
      </c>
      <c r="B22" s="128" t="s">
        <v>1774</v>
      </c>
      <c r="C22" s="64" t="s">
        <v>18</v>
      </c>
      <c r="D22" s="32" t="s">
        <v>16</v>
      </c>
      <c r="E22" s="32">
        <v>43417</v>
      </c>
      <c r="F22" s="32" t="s">
        <v>79</v>
      </c>
      <c r="G22" s="127">
        <v>52</v>
      </c>
      <c r="H22" s="31" t="s">
        <v>176</v>
      </c>
      <c r="I22" s="64" t="s">
        <v>1094</v>
      </c>
      <c r="J22" s="66" t="s">
        <v>464</v>
      </c>
      <c r="K22" s="33" t="s">
        <v>285</v>
      </c>
      <c r="L22" s="33" t="s">
        <v>1673</v>
      </c>
      <c r="M22" s="40" t="s">
        <v>285</v>
      </c>
      <c r="N22" s="33" t="s">
        <v>1789</v>
      </c>
    </row>
    <row r="23" spans="1:14" ht="150" customHeight="1" x14ac:dyDescent="0.25">
      <c r="A23" s="43" t="s">
        <v>1798</v>
      </c>
      <c r="B23" s="128" t="s">
        <v>1799</v>
      </c>
      <c r="C23" s="64" t="s">
        <v>18</v>
      </c>
      <c r="D23" s="32" t="s">
        <v>108</v>
      </c>
      <c r="E23" s="32">
        <v>43438</v>
      </c>
      <c r="F23" s="32" t="s">
        <v>79</v>
      </c>
      <c r="G23" s="127">
        <v>31</v>
      </c>
      <c r="H23" s="31" t="s">
        <v>181</v>
      </c>
      <c r="I23" s="64" t="s">
        <v>432</v>
      </c>
      <c r="J23" s="66" t="s">
        <v>695</v>
      </c>
      <c r="K23" s="33" t="s">
        <v>285</v>
      </c>
      <c r="L23" s="33" t="s">
        <v>1653</v>
      </c>
      <c r="M23" s="40" t="s">
        <v>285</v>
      </c>
      <c r="N23" s="33" t="s">
        <v>1800</v>
      </c>
    </row>
    <row r="24" spans="1:14" ht="150" customHeight="1" x14ac:dyDescent="0.25">
      <c r="A24" s="43" t="s">
        <v>1801</v>
      </c>
      <c r="B24" s="128" t="s">
        <v>1802</v>
      </c>
      <c r="C24" s="64" t="s">
        <v>18</v>
      </c>
      <c r="D24" s="32" t="s">
        <v>108</v>
      </c>
      <c r="E24" s="32">
        <v>43438</v>
      </c>
      <c r="F24" s="32" t="s">
        <v>79</v>
      </c>
      <c r="G24" s="127">
        <v>31</v>
      </c>
      <c r="H24" s="31" t="s">
        <v>182</v>
      </c>
      <c r="I24" s="64" t="s">
        <v>1803</v>
      </c>
      <c r="J24" s="66" t="s">
        <v>464</v>
      </c>
      <c r="K24" s="33" t="s">
        <v>285</v>
      </c>
      <c r="L24" s="33" t="s">
        <v>1805</v>
      </c>
      <c r="M24" s="40" t="s">
        <v>285</v>
      </c>
      <c r="N24" s="33" t="s">
        <v>1806</v>
      </c>
    </row>
    <row r="25" spans="1:14" ht="150" customHeight="1" x14ac:dyDescent="0.25">
      <c r="A25" s="43" t="s">
        <v>1807</v>
      </c>
      <c r="B25" s="128" t="s">
        <v>1808</v>
      </c>
      <c r="C25" s="64" t="s">
        <v>18</v>
      </c>
      <c r="D25" s="32" t="s">
        <v>16</v>
      </c>
      <c r="E25" s="32">
        <v>43438</v>
      </c>
      <c r="F25" s="32" t="s">
        <v>79</v>
      </c>
      <c r="G25" s="127">
        <v>31</v>
      </c>
      <c r="H25" s="31" t="s">
        <v>159</v>
      </c>
      <c r="I25" s="64" t="s">
        <v>121</v>
      </c>
      <c r="J25" s="66" t="s">
        <v>464</v>
      </c>
      <c r="K25" s="33" t="s">
        <v>285</v>
      </c>
      <c r="L25" s="33" t="s">
        <v>1809</v>
      </c>
      <c r="M25" s="40" t="s">
        <v>285</v>
      </c>
      <c r="N25" s="33" t="s">
        <v>1810</v>
      </c>
    </row>
    <row r="26" spans="1:14" ht="150" customHeight="1" x14ac:dyDescent="0.25">
      <c r="A26" s="43" t="s">
        <v>1842</v>
      </c>
      <c r="B26" s="128" t="s">
        <v>1843</v>
      </c>
      <c r="C26" s="64" t="s">
        <v>18</v>
      </c>
      <c r="D26" s="32" t="s">
        <v>1844</v>
      </c>
      <c r="E26" s="32">
        <v>43444</v>
      </c>
      <c r="F26" s="32" t="s">
        <v>79</v>
      </c>
      <c r="G26" s="127">
        <v>25</v>
      </c>
      <c r="H26" s="31" t="s">
        <v>445</v>
      </c>
      <c r="I26" s="64" t="s">
        <v>48</v>
      </c>
      <c r="J26" s="66" t="s">
        <v>464</v>
      </c>
      <c r="K26" s="33" t="s">
        <v>285</v>
      </c>
      <c r="L26" s="33" t="s">
        <v>1012</v>
      </c>
      <c r="M26" s="40" t="s">
        <v>285</v>
      </c>
      <c r="N26" s="33" t="s">
        <v>1845</v>
      </c>
    </row>
    <row r="27" spans="1:14" ht="150" customHeight="1" x14ac:dyDescent="0.25">
      <c r="A27" s="43" t="s">
        <v>1847</v>
      </c>
      <c r="B27" s="128" t="s">
        <v>1848</v>
      </c>
      <c r="C27" s="64" t="s">
        <v>18</v>
      </c>
      <c r="D27" s="32" t="s">
        <v>441</v>
      </c>
      <c r="E27" s="32">
        <v>43467</v>
      </c>
      <c r="F27" s="32" t="s">
        <v>79</v>
      </c>
      <c r="G27" s="31">
        <v>2</v>
      </c>
      <c r="H27" s="31" t="s">
        <v>160</v>
      </c>
      <c r="I27" s="64" t="s">
        <v>1142</v>
      </c>
      <c r="J27" s="66" t="s">
        <v>582</v>
      </c>
      <c r="K27" s="33" t="s">
        <v>285</v>
      </c>
      <c r="L27" s="33" t="s">
        <v>1141</v>
      </c>
      <c r="M27" s="40" t="s">
        <v>285</v>
      </c>
      <c r="N27" s="33" t="s">
        <v>1849</v>
      </c>
    </row>
    <row r="28" spans="1:14" ht="150" customHeight="1" x14ac:dyDescent="0.25">
      <c r="A28" s="43" t="s">
        <v>1850</v>
      </c>
      <c r="B28" s="128" t="s">
        <v>1851</v>
      </c>
      <c r="C28" s="64" t="s">
        <v>18</v>
      </c>
      <c r="D28" s="32" t="s">
        <v>441</v>
      </c>
      <c r="E28" s="32">
        <v>43468</v>
      </c>
      <c r="F28" s="32" t="s">
        <v>79</v>
      </c>
      <c r="G28" s="31">
        <v>1</v>
      </c>
      <c r="H28" s="31" t="s">
        <v>176</v>
      </c>
      <c r="I28" s="64" t="s">
        <v>1142</v>
      </c>
      <c r="J28" s="66" t="s">
        <v>582</v>
      </c>
      <c r="K28" s="33" t="s">
        <v>1721</v>
      </c>
      <c r="L28" s="33" t="s">
        <v>1549</v>
      </c>
      <c r="M28" s="40" t="s">
        <v>285</v>
      </c>
      <c r="N28" s="33" t="s">
        <v>1852</v>
      </c>
    </row>
    <row r="29" spans="1:14" ht="150" customHeight="1" x14ac:dyDescent="0.25">
      <c r="A29" s="43"/>
      <c r="B29" s="128"/>
      <c r="C29" s="64"/>
      <c r="D29" s="32"/>
      <c r="E29" s="32"/>
      <c r="F29" s="32"/>
      <c r="G29" s="31"/>
      <c r="H29" s="31"/>
      <c r="I29" s="64"/>
      <c r="J29" s="66"/>
      <c r="K29" s="33"/>
      <c r="L29" s="33"/>
      <c r="M29" s="40"/>
      <c r="N29" s="33"/>
    </row>
    <row r="30" spans="1:14" ht="150" customHeight="1" x14ac:dyDescent="0.25">
      <c r="A30" s="43"/>
      <c r="B30" s="128"/>
      <c r="C30" s="64"/>
      <c r="D30" s="32"/>
      <c r="E30" s="32"/>
      <c r="F30" s="32"/>
      <c r="G30" s="31"/>
      <c r="H30" s="31"/>
      <c r="I30" s="33"/>
      <c r="J30" s="36"/>
      <c r="K30" s="33"/>
      <c r="L30" s="33"/>
      <c r="M30" s="40"/>
      <c r="N30" s="33"/>
    </row>
    <row r="31" spans="1:14" ht="150" customHeight="1" x14ac:dyDescent="0.25">
      <c r="A31" s="43"/>
      <c r="B31" s="128"/>
      <c r="C31" s="64"/>
      <c r="D31" s="32"/>
      <c r="E31" s="32"/>
      <c r="F31" s="32"/>
      <c r="G31" s="31"/>
      <c r="H31" s="31"/>
      <c r="I31" s="33"/>
      <c r="J31" s="36"/>
      <c r="K31" s="33"/>
      <c r="L31" s="33"/>
      <c r="M31" s="40"/>
      <c r="N31" s="33"/>
    </row>
    <row r="32" spans="1:14" ht="150" customHeight="1" x14ac:dyDescent="0.25">
      <c r="A32" s="43"/>
      <c r="B32" s="128"/>
      <c r="C32" s="64"/>
      <c r="D32" s="32"/>
      <c r="E32" s="32"/>
      <c r="F32" s="32"/>
      <c r="G32" s="31"/>
      <c r="H32" s="31"/>
      <c r="I32" s="33"/>
      <c r="J32" s="36"/>
      <c r="K32" s="33"/>
      <c r="L32" s="33"/>
      <c r="M32" s="40"/>
      <c r="N32" s="33"/>
    </row>
    <row r="33" spans="1:14" ht="150" customHeight="1" x14ac:dyDescent="0.25">
      <c r="A33" s="43"/>
      <c r="B33" s="128"/>
      <c r="C33" s="64"/>
      <c r="D33" s="32"/>
      <c r="E33" s="32"/>
      <c r="F33" s="32"/>
      <c r="G33" s="31"/>
      <c r="H33" s="31"/>
      <c r="I33" s="33"/>
      <c r="J33" s="36"/>
      <c r="K33" s="33"/>
      <c r="L33" s="33"/>
      <c r="M33" s="40"/>
      <c r="N33" s="33"/>
    </row>
    <row r="34" spans="1:14" ht="150" customHeight="1" x14ac:dyDescent="0.25">
      <c r="A34" s="43"/>
      <c r="B34" s="128"/>
      <c r="C34" s="64"/>
      <c r="D34" s="32"/>
      <c r="E34" s="32"/>
      <c r="F34" s="32"/>
      <c r="G34" s="31"/>
      <c r="H34" s="31"/>
      <c r="I34" s="33"/>
      <c r="J34" s="36"/>
      <c r="K34" s="33"/>
      <c r="L34" s="33"/>
      <c r="M34" s="40"/>
      <c r="N34" s="33"/>
    </row>
    <row r="35" spans="1:14" ht="150" customHeight="1" x14ac:dyDescent="0.25">
      <c r="A35" s="43"/>
      <c r="B35" s="128"/>
      <c r="C35" s="64"/>
      <c r="D35" s="32"/>
      <c r="E35" s="32"/>
      <c r="F35" s="32"/>
      <c r="G35" s="31"/>
      <c r="H35" s="31"/>
      <c r="I35" s="33"/>
      <c r="J35" s="36"/>
      <c r="K35" s="33"/>
      <c r="L35" s="33"/>
      <c r="M35" s="40"/>
      <c r="N35" s="33"/>
    </row>
    <row r="36" spans="1:14" ht="150" customHeight="1" x14ac:dyDescent="0.25">
      <c r="A36" s="43"/>
      <c r="B36" s="128"/>
      <c r="C36" s="64"/>
      <c r="D36" s="32"/>
      <c r="E36" s="32"/>
      <c r="F36" s="32"/>
      <c r="G36" s="31"/>
      <c r="H36" s="31"/>
      <c r="I36" s="33"/>
      <c r="J36" s="36"/>
      <c r="K36" s="33"/>
      <c r="L36" s="33"/>
      <c r="M36" s="40"/>
      <c r="N36" s="33"/>
    </row>
    <row r="37" spans="1:14" ht="150" customHeight="1" x14ac:dyDescent="0.25">
      <c r="A37" s="43"/>
      <c r="B37" s="128"/>
      <c r="C37" s="64"/>
      <c r="D37" s="32"/>
      <c r="E37" s="32"/>
      <c r="F37" s="32"/>
      <c r="G37" s="31"/>
      <c r="H37" s="31"/>
      <c r="I37" s="33"/>
      <c r="J37" s="36"/>
      <c r="K37" s="33"/>
      <c r="L37" s="33"/>
      <c r="M37" s="40"/>
      <c r="N37" s="33"/>
    </row>
    <row r="38" spans="1:14" ht="150" customHeight="1" x14ac:dyDescent="0.25">
      <c r="A38" s="43"/>
      <c r="B38" s="128"/>
      <c r="C38" s="64"/>
      <c r="D38" s="32"/>
      <c r="E38" s="32"/>
      <c r="F38" s="32"/>
      <c r="G38" s="31"/>
      <c r="H38" s="31"/>
      <c r="I38" s="33"/>
      <c r="J38" s="36"/>
      <c r="K38" s="33"/>
      <c r="L38" s="33"/>
      <c r="M38" s="40"/>
      <c r="N38" s="33"/>
    </row>
    <row r="39" spans="1:14" ht="150" customHeight="1" x14ac:dyDescent="0.25">
      <c r="A39" s="43"/>
      <c r="B39" s="128"/>
      <c r="C39" s="64"/>
      <c r="D39" s="32"/>
      <c r="E39" s="32"/>
      <c r="F39" s="32"/>
      <c r="G39" s="31"/>
      <c r="H39" s="31"/>
      <c r="I39" s="33"/>
      <c r="J39" s="36"/>
      <c r="K39" s="33"/>
      <c r="L39" s="33"/>
      <c r="M39" s="40"/>
      <c r="N39" s="33"/>
    </row>
    <row r="40" spans="1:14" ht="150" customHeight="1" x14ac:dyDescent="0.25">
      <c r="A40" s="43"/>
      <c r="B40" s="128"/>
      <c r="C40" s="64"/>
      <c r="D40" s="32"/>
      <c r="E40" s="32"/>
      <c r="F40" s="32"/>
      <c r="G40" s="31"/>
      <c r="H40" s="31"/>
      <c r="I40" s="33"/>
      <c r="J40" s="37"/>
      <c r="K40" s="33"/>
      <c r="L40" s="33"/>
      <c r="M40" s="40"/>
      <c r="N40" s="33"/>
    </row>
    <row r="41" spans="1:14" ht="150" customHeight="1" x14ac:dyDescent="0.25">
      <c r="A41" s="43"/>
      <c r="B41" s="128"/>
      <c r="C41" s="64"/>
      <c r="D41" s="32"/>
      <c r="E41" s="32"/>
      <c r="F41" s="32"/>
      <c r="G41" s="31"/>
      <c r="H41" s="31"/>
      <c r="I41" s="33"/>
      <c r="J41" s="66"/>
      <c r="K41" s="33"/>
      <c r="L41" s="33"/>
      <c r="M41" s="40"/>
      <c r="N41" s="33"/>
    </row>
    <row r="42" spans="1:14" ht="150" customHeight="1" x14ac:dyDescent="0.25">
      <c r="A42" s="43"/>
      <c r="B42" s="128"/>
      <c r="C42" s="64"/>
      <c r="D42" s="32"/>
      <c r="E42" s="32"/>
      <c r="F42" s="32"/>
      <c r="G42" s="31"/>
      <c r="H42" s="31"/>
      <c r="I42" s="33"/>
      <c r="J42" s="37"/>
      <c r="K42" s="33"/>
      <c r="L42" s="33"/>
      <c r="M42" s="40"/>
      <c r="N42" s="33"/>
    </row>
    <row r="43" spans="1:14" ht="150" customHeight="1" x14ac:dyDescent="0.25">
      <c r="A43" s="43"/>
      <c r="B43" s="128"/>
      <c r="C43" s="64"/>
      <c r="D43" s="32"/>
      <c r="E43" s="32"/>
      <c r="F43" s="32"/>
      <c r="G43" s="31"/>
      <c r="H43" s="31"/>
      <c r="I43" s="33"/>
      <c r="J43" s="66"/>
      <c r="K43" s="33"/>
      <c r="L43" s="33"/>
      <c r="M43" s="40"/>
      <c r="N43" s="33"/>
    </row>
    <row r="44" spans="1:14" ht="150" customHeight="1" x14ac:dyDescent="0.25">
      <c r="A44" s="43"/>
      <c r="B44" s="128"/>
      <c r="C44" s="64"/>
      <c r="D44" s="32"/>
      <c r="E44" s="32"/>
      <c r="F44" s="32"/>
      <c r="G44" s="31"/>
      <c r="H44" s="31"/>
      <c r="I44" s="33"/>
      <c r="J44" s="66"/>
      <c r="K44" s="33"/>
      <c r="L44" s="33"/>
      <c r="M44" s="40"/>
      <c r="N44" s="33"/>
    </row>
    <row r="45" spans="1:14" ht="150" customHeight="1" x14ac:dyDescent="0.25">
      <c r="A45" s="43"/>
      <c r="B45" s="128"/>
      <c r="C45" s="64"/>
      <c r="D45" s="32"/>
      <c r="E45" s="32"/>
      <c r="F45" s="32"/>
      <c r="G45" s="31"/>
      <c r="H45" s="31"/>
      <c r="I45" s="33"/>
      <c r="J45" s="37"/>
      <c r="K45" s="33"/>
      <c r="L45" s="33"/>
      <c r="M45" s="40"/>
      <c r="N45" s="33"/>
    </row>
    <row r="46" spans="1:14" ht="150" customHeight="1" x14ac:dyDescent="0.25">
      <c r="A46" s="43"/>
      <c r="B46" s="128"/>
      <c r="C46" s="64"/>
      <c r="D46" s="32"/>
      <c r="E46" s="32"/>
      <c r="F46" s="32"/>
      <c r="G46" s="31"/>
      <c r="H46" s="31"/>
      <c r="I46" s="33"/>
      <c r="J46" s="37"/>
      <c r="K46" s="33"/>
      <c r="L46" s="33"/>
      <c r="M46" s="40"/>
      <c r="N46" s="33"/>
    </row>
    <row r="47" spans="1:14" ht="120" customHeight="1" x14ac:dyDescent="0.25">
      <c r="A47" s="43"/>
      <c r="B47" s="128"/>
      <c r="C47" s="64"/>
      <c r="D47" s="32"/>
      <c r="E47" s="32"/>
      <c r="F47" s="32"/>
      <c r="G47" s="31"/>
      <c r="H47" s="31"/>
      <c r="I47" s="33"/>
      <c r="J47" s="37"/>
      <c r="K47" s="33"/>
      <c r="L47" s="33"/>
      <c r="M47" s="40"/>
      <c r="N47" s="33"/>
    </row>
    <row r="48" spans="1:14" ht="120" customHeight="1" x14ac:dyDescent="0.25">
      <c r="A48" s="43"/>
      <c r="B48" s="128"/>
      <c r="C48" s="64"/>
      <c r="D48" s="32"/>
      <c r="E48" s="32"/>
      <c r="F48" s="32"/>
      <c r="G48" s="31"/>
      <c r="H48" s="31"/>
      <c r="I48" s="33"/>
      <c r="J48" s="37"/>
      <c r="K48" s="33"/>
      <c r="L48" s="33"/>
      <c r="M48" s="40"/>
      <c r="N48" s="33"/>
    </row>
    <row r="49" spans="1:14" ht="120" customHeight="1" x14ac:dyDescent="0.25">
      <c r="A49" s="43"/>
      <c r="B49" s="128"/>
      <c r="C49" s="64"/>
      <c r="D49" s="32"/>
      <c r="E49" s="32"/>
      <c r="F49" s="32"/>
      <c r="G49" s="31"/>
      <c r="H49" s="31"/>
      <c r="I49" s="33"/>
      <c r="J49" s="37"/>
      <c r="K49" s="33"/>
      <c r="L49" s="33"/>
      <c r="M49" s="40"/>
      <c r="N49" s="33"/>
    </row>
    <row r="50" spans="1:14" ht="120" customHeight="1" x14ac:dyDescent="0.25">
      <c r="A50" s="43"/>
      <c r="B50" s="128"/>
      <c r="C50" s="64"/>
      <c r="D50" s="32"/>
      <c r="E50" s="32"/>
      <c r="F50" s="32"/>
      <c r="G50" s="31"/>
      <c r="H50" s="31"/>
      <c r="I50" s="33"/>
      <c r="J50" s="37"/>
      <c r="K50" s="33"/>
      <c r="L50" s="33"/>
      <c r="M50" s="40"/>
      <c r="N50" s="33"/>
    </row>
    <row r="51" spans="1:14" ht="120" customHeight="1" x14ac:dyDescent="0.25">
      <c r="A51" s="43"/>
      <c r="B51" s="128"/>
      <c r="C51" s="64"/>
      <c r="D51" s="32"/>
      <c r="E51" s="32"/>
      <c r="F51" s="32"/>
      <c r="G51" s="31"/>
      <c r="H51" s="31"/>
      <c r="I51" s="33"/>
      <c r="J51" s="37"/>
      <c r="K51" s="33"/>
      <c r="L51" s="33"/>
      <c r="M51" s="40"/>
      <c r="N51" s="33"/>
    </row>
    <row r="52" spans="1:14" ht="120" customHeight="1" x14ac:dyDescent="0.25">
      <c r="A52" s="43"/>
      <c r="B52" s="128"/>
      <c r="C52" s="64"/>
      <c r="D52" s="32"/>
      <c r="E52" s="32"/>
      <c r="F52" s="32"/>
      <c r="G52" s="31"/>
      <c r="H52" s="31"/>
      <c r="I52" s="33"/>
      <c r="J52" s="37"/>
      <c r="K52" s="33"/>
      <c r="L52" s="33"/>
      <c r="M52" s="40"/>
      <c r="N52" s="33"/>
    </row>
    <row r="53" spans="1:14" ht="120" customHeight="1" x14ac:dyDescent="0.25">
      <c r="A53" s="43"/>
      <c r="B53" s="128"/>
      <c r="C53" s="64"/>
      <c r="D53" s="32"/>
      <c r="E53" s="32"/>
      <c r="F53" s="32"/>
      <c r="G53" s="31"/>
      <c r="H53" s="31"/>
      <c r="I53" s="33"/>
      <c r="J53" s="37"/>
      <c r="K53" s="33"/>
      <c r="L53" s="33"/>
      <c r="M53" s="40"/>
      <c r="N53" s="33"/>
    </row>
    <row r="54" spans="1:14" ht="120" customHeight="1" x14ac:dyDescent="0.25">
      <c r="A54" s="43"/>
      <c r="B54" s="128"/>
      <c r="C54" s="64"/>
      <c r="D54" s="32"/>
      <c r="E54" s="32"/>
      <c r="F54" s="32"/>
      <c r="G54" s="31"/>
      <c r="H54" s="31"/>
      <c r="I54" s="33"/>
      <c r="J54" s="37"/>
      <c r="K54" s="33"/>
      <c r="L54" s="33"/>
      <c r="M54" s="40"/>
      <c r="N54" s="33"/>
    </row>
    <row r="55" spans="1:14" ht="120" customHeight="1" x14ac:dyDescent="0.25">
      <c r="A55" s="43"/>
      <c r="B55" s="128"/>
      <c r="C55" s="64"/>
      <c r="D55" s="32"/>
      <c r="E55" s="32"/>
      <c r="F55" s="32"/>
      <c r="G55" s="31"/>
      <c r="H55" s="31"/>
      <c r="I55" s="33"/>
      <c r="J55" s="37"/>
      <c r="K55" s="33"/>
      <c r="L55" s="33"/>
      <c r="M55" s="40"/>
      <c r="N55" s="33"/>
    </row>
    <row r="56" spans="1:14" ht="120" customHeight="1" x14ac:dyDescent="0.25">
      <c r="A56" s="43"/>
      <c r="B56" s="128"/>
      <c r="C56" s="64"/>
      <c r="D56" s="32"/>
      <c r="E56" s="32"/>
      <c r="F56" s="32"/>
      <c r="G56" s="31"/>
      <c r="H56" s="31"/>
      <c r="I56" s="33"/>
      <c r="J56" s="37"/>
      <c r="K56" s="33"/>
      <c r="L56" s="33"/>
      <c r="M56" s="40"/>
      <c r="N56" s="33"/>
    </row>
    <row r="57" spans="1:14" ht="120" customHeight="1" x14ac:dyDescent="0.25">
      <c r="A57" s="43"/>
      <c r="B57" s="128"/>
      <c r="C57" s="64"/>
      <c r="D57" s="32"/>
      <c r="E57" s="32"/>
      <c r="F57" s="32"/>
      <c r="G57" s="31"/>
      <c r="H57" s="31"/>
      <c r="I57" s="33"/>
      <c r="J57" s="37"/>
      <c r="K57" s="33"/>
      <c r="L57" s="33"/>
      <c r="M57" s="40"/>
      <c r="N57" s="33"/>
    </row>
    <row r="58" spans="1:14" ht="120" customHeight="1" x14ac:dyDescent="0.25">
      <c r="A58" s="43"/>
      <c r="B58" s="128"/>
      <c r="C58" s="64"/>
      <c r="D58" s="32"/>
      <c r="E58" s="32"/>
      <c r="F58" s="32"/>
      <c r="G58" s="31"/>
      <c r="H58" s="31"/>
      <c r="I58" s="33"/>
      <c r="J58" s="37"/>
      <c r="K58" s="33"/>
      <c r="L58" s="33"/>
      <c r="M58" s="40"/>
      <c r="N58" s="33"/>
    </row>
    <row r="59" spans="1:14" ht="150" customHeight="1" x14ac:dyDescent="0.25">
      <c r="A59" s="43"/>
      <c r="B59" s="128"/>
      <c r="C59" s="64"/>
      <c r="D59" s="32"/>
      <c r="E59" s="32"/>
      <c r="F59" s="32"/>
      <c r="G59" s="31"/>
      <c r="H59" s="31"/>
      <c r="I59" s="33"/>
      <c r="J59" s="37"/>
      <c r="K59" s="33"/>
      <c r="L59" s="33"/>
      <c r="M59" s="40"/>
      <c r="N59" s="33"/>
    </row>
    <row r="60" spans="1:14" ht="150" customHeight="1" x14ac:dyDescent="0.25">
      <c r="A60" s="43"/>
      <c r="B60" s="128"/>
      <c r="C60" s="64"/>
      <c r="D60" s="32"/>
      <c r="E60" s="32"/>
      <c r="F60" s="32"/>
      <c r="G60" s="31"/>
      <c r="H60" s="31"/>
      <c r="I60" s="33"/>
      <c r="J60" s="37"/>
      <c r="K60" s="33"/>
      <c r="L60" s="33"/>
      <c r="M60" s="40"/>
      <c r="N60" s="33"/>
    </row>
    <row r="61" spans="1:14" ht="150" customHeight="1" x14ac:dyDescent="0.25">
      <c r="A61" s="43"/>
      <c r="B61" s="128"/>
      <c r="C61" s="64"/>
      <c r="D61" s="32"/>
      <c r="E61" s="32"/>
      <c r="F61" s="32"/>
      <c r="G61" s="31"/>
      <c r="H61" s="31"/>
      <c r="I61" s="33"/>
      <c r="J61" s="37"/>
      <c r="K61" s="33"/>
      <c r="L61" s="33"/>
      <c r="M61" s="40"/>
      <c r="N61" s="33"/>
    </row>
    <row r="62" spans="1:14" ht="150" customHeight="1" x14ac:dyDescent="0.25">
      <c r="A62" s="43"/>
      <c r="B62" s="128"/>
      <c r="C62" s="64"/>
      <c r="D62" s="32"/>
      <c r="E62" s="32"/>
      <c r="F62" s="32"/>
      <c r="G62" s="31"/>
      <c r="H62" s="31"/>
      <c r="I62" s="33"/>
      <c r="J62" s="37"/>
      <c r="K62" s="33"/>
      <c r="L62" s="33"/>
      <c r="M62" s="40"/>
      <c r="N62" s="33"/>
    </row>
    <row r="63" spans="1:14" ht="150" customHeight="1" x14ac:dyDescent="0.25">
      <c r="A63" s="43"/>
      <c r="B63" s="128"/>
      <c r="C63" s="64"/>
      <c r="D63" s="32"/>
      <c r="E63" s="32"/>
      <c r="F63" s="32"/>
      <c r="G63" s="31"/>
      <c r="H63" s="31"/>
      <c r="I63" s="33"/>
      <c r="J63" s="37"/>
      <c r="K63" s="33"/>
      <c r="L63" s="33"/>
      <c r="M63" s="40"/>
      <c r="N63" s="33"/>
    </row>
    <row r="64" spans="1:14" ht="150" customHeight="1" x14ac:dyDescent="0.25">
      <c r="A64" s="43"/>
      <c r="B64" s="128"/>
      <c r="C64" s="64"/>
      <c r="D64" s="32"/>
      <c r="E64" s="32"/>
      <c r="F64" s="32"/>
      <c r="G64" s="31"/>
      <c r="H64" s="31"/>
      <c r="I64" s="33"/>
      <c r="J64" s="37"/>
      <c r="K64" s="33"/>
      <c r="L64" s="33"/>
      <c r="M64" s="40"/>
      <c r="N64" s="33"/>
    </row>
    <row r="65" spans="1:14" ht="150" customHeight="1" x14ac:dyDescent="0.25">
      <c r="A65" s="43"/>
      <c r="B65" s="128"/>
      <c r="C65" s="64"/>
      <c r="D65" s="32"/>
      <c r="E65" s="32"/>
      <c r="F65" s="32"/>
      <c r="G65" s="31"/>
      <c r="H65" s="31"/>
      <c r="I65" s="33"/>
      <c r="J65" s="37"/>
      <c r="K65" s="33"/>
      <c r="L65" s="33"/>
      <c r="M65" s="40"/>
      <c r="N65" s="33"/>
    </row>
    <row r="66" spans="1:14" ht="150" customHeight="1" x14ac:dyDescent="0.25">
      <c r="A66" s="43"/>
      <c r="B66" s="128"/>
      <c r="C66" s="64"/>
      <c r="D66" s="32"/>
      <c r="E66" s="32"/>
      <c r="F66" s="32"/>
      <c r="G66" s="31"/>
      <c r="H66" s="31"/>
      <c r="I66" s="33"/>
      <c r="J66" s="37"/>
      <c r="K66" s="33"/>
      <c r="L66" s="33"/>
      <c r="M66" s="40"/>
      <c r="N66" s="33"/>
    </row>
    <row r="67" spans="1:14" ht="150" customHeight="1" x14ac:dyDescent="0.25">
      <c r="A67" s="43"/>
      <c r="B67" s="128"/>
      <c r="C67" s="64"/>
      <c r="D67" s="32"/>
      <c r="E67" s="32"/>
      <c r="F67" s="32"/>
      <c r="G67" s="31"/>
      <c r="H67" s="31"/>
      <c r="I67" s="33"/>
      <c r="J67" s="37"/>
      <c r="K67" s="33"/>
      <c r="L67" s="33"/>
      <c r="M67" s="40"/>
      <c r="N67" s="33"/>
    </row>
    <row r="68" spans="1:14" ht="150" customHeight="1" x14ac:dyDescent="0.25">
      <c r="A68" s="43"/>
      <c r="B68" s="128"/>
      <c r="C68" s="64"/>
      <c r="D68" s="32"/>
      <c r="E68" s="32"/>
      <c r="F68" s="32"/>
      <c r="G68" s="31"/>
      <c r="H68" s="31"/>
      <c r="I68" s="33"/>
      <c r="J68" s="37"/>
      <c r="K68" s="33"/>
      <c r="L68" s="33"/>
      <c r="M68" s="40"/>
      <c r="N68" s="33"/>
    </row>
    <row r="69" spans="1:14" ht="150" customHeight="1" x14ac:dyDescent="0.25">
      <c r="A69" s="43"/>
      <c r="B69" s="128"/>
      <c r="C69" s="64"/>
      <c r="D69" s="32"/>
      <c r="E69" s="32"/>
      <c r="F69" s="32"/>
      <c r="G69" s="31"/>
      <c r="H69" s="31"/>
      <c r="I69" s="33"/>
      <c r="J69" s="37"/>
      <c r="K69" s="33"/>
      <c r="L69" s="33"/>
      <c r="M69" s="40"/>
      <c r="N69" s="33"/>
    </row>
    <row r="70" spans="1:14" ht="150" customHeight="1" x14ac:dyDescent="0.25">
      <c r="A70" s="43"/>
      <c r="B70" s="128"/>
      <c r="C70" s="64"/>
      <c r="D70" s="32"/>
      <c r="E70" s="32"/>
      <c r="F70" s="32"/>
      <c r="G70" s="31"/>
      <c r="H70" s="31"/>
      <c r="I70" s="33"/>
      <c r="J70" s="37"/>
      <c r="K70" s="33"/>
      <c r="L70" s="33"/>
      <c r="M70" s="40"/>
      <c r="N70" s="33"/>
    </row>
    <row r="71" spans="1:14" ht="150" customHeight="1" x14ac:dyDescent="0.25">
      <c r="A71" s="43"/>
      <c r="B71" s="128"/>
      <c r="C71" s="64"/>
      <c r="D71" s="32"/>
      <c r="E71" s="32"/>
      <c r="F71" s="32"/>
      <c r="G71" s="31"/>
      <c r="H71" s="31"/>
      <c r="I71" s="33"/>
      <c r="J71" s="37"/>
      <c r="K71" s="33"/>
      <c r="L71" s="33"/>
      <c r="M71" s="40"/>
      <c r="N71" s="33"/>
    </row>
    <row r="72" spans="1:14" ht="150" customHeight="1" x14ac:dyDescent="0.25">
      <c r="A72" s="43"/>
      <c r="B72" s="128"/>
      <c r="C72" s="64"/>
      <c r="D72" s="32"/>
      <c r="E72" s="32"/>
      <c r="F72" s="32"/>
      <c r="G72" s="31"/>
      <c r="H72" s="31"/>
      <c r="I72" s="33"/>
      <c r="J72" s="37"/>
      <c r="K72" s="33"/>
      <c r="L72" s="33"/>
      <c r="M72" s="40"/>
      <c r="N72" s="33"/>
    </row>
    <row r="73" spans="1:14" ht="150" customHeight="1" x14ac:dyDescent="0.25">
      <c r="A73" s="43"/>
      <c r="B73" s="128"/>
      <c r="C73" s="64"/>
      <c r="D73" s="32"/>
      <c r="E73" s="32"/>
      <c r="F73" s="32"/>
      <c r="G73" s="31"/>
      <c r="H73" s="31"/>
      <c r="I73" s="33"/>
      <c r="J73" s="37"/>
      <c r="K73" s="33"/>
      <c r="L73" s="33"/>
      <c r="M73" s="40"/>
      <c r="N73" s="33"/>
    </row>
    <row r="74" spans="1:14" ht="150" customHeight="1" x14ac:dyDescent="0.25">
      <c r="A74" s="43"/>
      <c r="B74" s="128"/>
      <c r="C74" s="64"/>
      <c r="D74" s="32"/>
      <c r="E74" s="32"/>
      <c r="F74" s="32"/>
      <c r="G74" s="31"/>
      <c r="H74" s="31"/>
      <c r="I74" s="33"/>
      <c r="J74" s="37"/>
      <c r="K74" s="33"/>
      <c r="L74" s="33"/>
      <c r="M74" s="40"/>
      <c r="N74" s="33"/>
    </row>
    <row r="75" spans="1:14" ht="150" customHeight="1" x14ac:dyDescent="0.25">
      <c r="A75" s="43"/>
      <c r="B75" s="128"/>
      <c r="C75" s="64"/>
      <c r="D75" s="32"/>
      <c r="E75" s="32"/>
      <c r="F75" s="32"/>
      <c r="G75" s="31"/>
      <c r="H75" s="31"/>
      <c r="I75" s="33"/>
      <c r="J75" s="37"/>
      <c r="K75" s="33"/>
      <c r="L75" s="33"/>
      <c r="M75" s="40"/>
      <c r="N75" s="33"/>
    </row>
    <row r="76" spans="1:14" ht="150" customHeight="1" x14ac:dyDescent="0.25">
      <c r="A76" s="43"/>
      <c r="B76" s="128"/>
      <c r="C76" s="64"/>
      <c r="D76" s="32"/>
      <c r="E76" s="32"/>
      <c r="F76" s="32"/>
      <c r="G76" s="31"/>
      <c r="H76" s="31"/>
      <c r="I76" s="33"/>
      <c r="J76" s="37"/>
      <c r="K76" s="33"/>
      <c r="L76" s="33"/>
      <c r="M76" s="40"/>
      <c r="N76" s="33"/>
    </row>
    <row r="77" spans="1:14" ht="150" customHeight="1" x14ac:dyDescent="0.25">
      <c r="A77" s="43"/>
      <c r="B77" s="128"/>
      <c r="C77" s="64"/>
      <c r="D77" s="32"/>
      <c r="E77" s="32"/>
      <c r="F77" s="32"/>
      <c r="G77" s="31"/>
      <c r="H77" s="31"/>
      <c r="I77" s="33"/>
      <c r="J77" s="37"/>
      <c r="K77" s="33"/>
      <c r="L77" s="33"/>
      <c r="M77" s="40"/>
      <c r="N77" s="33"/>
    </row>
    <row r="78" spans="1:14" ht="150" customHeight="1" x14ac:dyDescent="0.25">
      <c r="A78" s="43"/>
      <c r="B78" s="128"/>
      <c r="C78" s="64"/>
      <c r="D78" s="32"/>
      <c r="E78" s="32"/>
      <c r="F78" s="32"/>
      <c r="G78" s="31"/>
      <c r="H78" s="31"/>
      <c r="I78" s="33"/>
      <c r="J78" s="37"/>
      <c r="K78" s="33"/>
      <c r="L78" s="33"/>
      <c r="M78" s="40"/>
      <c r="N78" s="33"/>
    </row>
    <row r="79" spans="1:14" ht="150" customHeight="1" x14ac:dyDescent="0.25">
      <c r="A79" s="43"/>
      <c r="B79" s="128"/>
      <c r="C79" s="64"/>
      <c r="D79" s="32"/>
      <c r="E79" s="32"/>
      <c r="F79" s="32"/>
      <c r="G79" s="31"/>
      <c r="H79" s="31"/>
      <c r="I79" s="33"/>
      <c r="J79" s="37"/>
      <c r="K79" s="33"/>
      <c r="L79" s="33"/>
      <c r="M79" s="40"/>
      <c r="N79" s="33"/>
    </row>
    <row r="80" spans="1:14" ht="150" customHeight="1" x14ac:dyDescent="0.25">
      <c r="A80" s="43"/>
      <c r="B80" s="128"/>
      <c r="C80" s="64"/>
      <c r="D80" s="32"/>
      <c r="E80" s="32"/>
      <c r="F80" s="32"/>
      <c r="G80" s="31"/>
      <c r="H80" s="31"/>
      <c r="I80" s="33"/>
      <c r="J80" s="37"/>
      <c r="K80" s="33"/>
      <c r="L80" s="33"/>
      <c r="M80" s="40"/>
      <c r="N80" s="33"/>
    </row>
    <row r="81" spans="1:14" ht="150" customHeight="1" x14ac:dyDescent="0.25">
      <c r="A81" s="43"/>
      <c r="B81" s="128"/>
      <c r="C81" s="64"/>
      <c r="D81" s="32"/>
      <c r="E81" s="32"/>
      <c r="F81" s="32"/>
      <c r="G81" s="31"/>
      <c r="H81" s="31"/>
      <c r="I81" s="33"/>
      <c r="J81" s="37"/>
      <c r="K81" s="33"/>
      <c r="L81" s="33"/>
      <c r="M81" s="40"/>
      <c r="N81" s="33"/>
    </row>
    <row r="82" spans="1:14" ht="150" customHeight="1" x14ac:dyDescent="0.25">
      <c r="A82" s="43"/>
      <c r="B82" s="128"/>
      <c r="C82" s="64"/>
      <c r="D82" s="32"/>
      <c r="E82" s="32"/>
      <c r="F82" s="32"/>
      <c r="G82" s="31"/>
      <c r="H82" s="31"/>
      <c r="I82" s="33"/>
      <c r="J82" s="37"/>
      <c r="K82" s="33"/>
      <c r="L82" s="33"/>
      <c r="M82" s="40"/>
      <c r="N82" s="33"/>
    </row>
    <row r="83" spans="1:14" ht="150" customHeight="1" x14ac:dyDescent="0.25">
      <c r="A83" s="43"/>
      <c r="B83" s="128"/>
      <c r="C83" s="64"/>
      <c r="D83" s="32"/>
      <c r="E83" s="32"/>
      <c r="F83" s="32"/>
      <c r="G83" s="31"/>
      <c r="H83" s="31"/>
      <c r="I83" s="33"/>
      <c r="J83" s="37"/>
      <c r="K83" s="33"/>
      <c r="L83" s="33"/>
      <c r="M83" s="40"/>
      <c r="N83" s="33"/>
    </row>
    <row r="84" spans="1:14" ht="150" customHeight="1" x14ac:dyDescent="0.25">
      <c r="A84" s="43"/>
      <c r="B84" s="128"/>
      <c r="C84" s="64"/>
      <c r="D84" s="32"/>
      <c r="E84" s="32"/>
      <c r="F84" s="32"/>
      <c r="G84" s="31"/>
      <c r="H84" s="31"/>
      <c r="I84" s="33"/>
      <c r="J84" s="37"/>
      <c r="K84" s="33"/>
      <c r="L84" s="33"/>
      <c r="M84" s="40"/>
      <c r="N84" s="33"/>
    </row>
    <row r="85" spans="1:14" ht="150" customHeight="1" x14ac:dyDescent="0.25">
      <c r="A85" s="43"/>
      <c r="B85" s="128"/>
      <c r="C85" s="64"/>
      <c r="D85" s="32"/>
      <c r="E85" s="32"/>
      <c r="F85" s="32"/>
      <c r="G85" s="31"/>
      <c r="H85" s="31"/>
      <c r="I85" s="33"/>
      <c r="J85" s="37"/>
      <c r="K85" s="33"/>
      <c r="L85" s="33"/>
      <c r="M85" s="40"/>
      <c r="N85" s="33"/>
    </row>
    <row r="86" spans="1:14" ht="150" customHeight="1" x14ac:dyDescent="0.25">
      <c r="A86" s="43"/>
      <c r="B86" s="128"/>
      <c r="C86" s="64"/>
      <c r="D86" s="32"/>
      <c r="E86" s="32"/>
      <c r="F86" s="32"/>
      <c r="G86" s="31"/>
      <c r="H86" s="31"/>
      <c r="I86" s="33"/>
      <c r="J86" s="37"/>
      <c r="K86" s="33"/>
      <c r="L86" s="33"/>
      <c r="M86" s="40"/>
      <c r="N86" s="33"/>
    </row>
    <row r="87" spans="1:14" ht="150" customHeight="1" x14ac:dyDescent="0.25">
      <c r="A87" s="43"/>
      <c r="B87" s="128"/>
      <c r="C87" s="64"/>
      <c r="D87" s="32"/>
      <c r="E87" s="32"/>
      <c r="F87" s="32"/>
      <c r="G87" s="31"/>
      <c r="H87" s="31"/>
      <c r="I87" s="33"/>
      <c r="J87" s="37"/>
      <c r="K87" s="33"/>
      <c r="L87" s="33"/>
      <c r="M87" s="40"/>
      <c r="N87" s="33"/>
    </row>
    <row r="88" spans="1:14" ht="150" customHeight="1" x14ac:dyDescent="0.25">
      <c r="A88" s="43"/>
      <c r="B88" s="128"/>
      <c r="C88" s="64"/>
      <c r="D88" s="32"/>
      <c r="E88" s="32"/>
      <c r="F88" s="32"/>
      <c r="G88" s="31"/>
      <c r="H88" s="31"/>
      <c r="I88" s="33"/>
      <c r="J88" s="37"/>
      <c r="K88" s="33"/>
      <c r="L88" s="33"/>
      <c r="M88" s="40"/>
      <c r="N88" s="33"/>
    </row>
    <row r="89" spans="1:14" ht="150" customHeight="1" x14ac:dyDescent="0.25">
      <c r="A89" s="43"/>
      <c r="B89" s="128"/>
      <c r="C89" s="64"/>
      <c r="D89" s="32"/>
      <c r="E89" s="32"/>
      <c r="F89" s="32"/>
      <c r="G89" s="31"/>
      <c r="H89" s="31"/>
      <c r="I89" s="33"/>
      <c r="J89" s="37"/>
      <c r="K89" s="33"/>
      <c r="L89" s="33"/>
      <c r="M89" s="40"/>
      <c r="N89" s="33"/>
    </row>
    <row r="90" spans="1:14" ht="150" customHeight="1" x14ac:dyDescent="0.25">
      <c r="A90" s="43"/>
      <c r="B90" s="128"/>
      <c r="C90" s="64"/>
      <c r="D90" s="32"/>
      <c r="E90" s="32"/>
      <c r="F90" s="32"/>
      <c r="G90" s="31"/>
      <c r="H90" s="31"/>
      <c r="I90" s="33"/>
      <c r="J90" s="37"/>
      <c r="K90" s="33"/>
      <c r="L90" s="33"/>
      <c r="M90" s="40"/>
      <c r="N90" s="33"/>
    </row>
    <row r="91" spans="1:14" ht="150" customHeight="1" x14ac:dyDescent="0.25">
      <c r="A91" s="43"/>
      <c r="B91" s="128"/>
      <c r="C91" s="64"/>
      <c r="D91" s="32"/>
      <c r="E91" s="32"/>
      <c r="F91" s="32"/>
      <c r="G91" s="31"/>
      <c r="H91" s="31"/>
      <c r="I91" s="33"/>
      <c r="J91" s="37"/>
      <c r="K91" s="33"/>
      <c r="L91" s="33"/>
      <c r="M91" s="40"/>
      <c r="N91" s="33"/>
    </row>
    <row r="92" spans="1:14" ht="150" customHeight="1" x14ac:dyDescent="0.25">
      <c r="A92" s="43"/>
      <c r="B92" s="128"/>
      <c r="C92" s="64"/>
      <c r="D92" s="32"/>
      <c r="E92" s="32"/>
      <c r="F92" s="32"/>
      <c r="G92" s="31"/>
      <c r="H92" s="31"/>
      <c r="I92" s="33"/>
      <c r="J92" s="37"/>
      <c r="K92" s="33"/>
      <c r="L92" s="33"/>
      <c r="M92" s="40"/>
      <c r="N92" s="33"/>
    </row>
    <row r="93" spans="1:14" ht="150" customHeight="1" x14ac:dyDescent="0.25">
      <c r="A93" s="43"/>
      <c r="B93" s="128"/>
      <c r="C93" s="64"/>
      <c r="D93" s="32"/>
      <c r="E93" s="32"/>
      <c r="F93" s="32"/>
      <c r="G93" s="31"/>
      <c r="H93" s="31"/>
      <c r="I93" s="33"/>
      <c r="J93" s="37"/>
      <c r="K93" s="33"/>
      <c r="L93" s="33"/>
      <c r="M93" s="40"/>
      <c r="N93" s="33"/>
    </row>
    <row r="94" spans="1:14" ht="150" customHeight="1" x14ac:dyDescent="0.25">
      <c r="A94" s="43"/>
      <c r="B94" s="128"/>
      <c r="C94" s="64"/>
      <c r="D94" s="32"/>
      <c r="E94" s="32"/>
      <c r="F94" s="32"/>
      <c r="G94" s="31"/>
      <c r="H94" s="31"/>
      <c r="I94" s="33"/>
      <c r="J94" s="37"/>
      <c r="K94" s="33"/>
      <c r="L94" s="33"/>
      <c r="M94" s="40"/>
      <c r="N94" s="33"/>
    </row>
    <row r="95" spans="1:14" ht="150" customHeight="1" x14ac:dyDescent="0.25">
      <c r="A95" s="43"/>
      <c r="B95" s="128"/>
      <c r="C95" s="64"/>
      <c r="D95" s="32"/>
      <c r="E95" s="32"/>
      <c r="F95" s="32"/>
      <c r="G95" s="31"/>
      <c r="H95" s="31"/>
      <c r="I95" s="33"/>
      <c r="J95" s="37"/>
      <c r="K95" s="33"/>
      <c r="L95" s="33"/>
      <c r="M95" s="40"/>
      <c r="N95" s="33"/>
    </row>
    <row r="96" spans="1:14" ht="150" customHeight="1" x14ac:dyDescent="0.25">
      <c r="A96" s="43"/>
      <c r="B96" s="128"/>
      <c r="C96" s="64"/>
      <c r="D96" s="32"/>
      <c r="E96" s="32"/>
      <c r="F96" s="32"/>
      <c r="G96" s="31"/>
      <c r="H96" s="31"/>
      <c r="I96" s="33"/>
      <c r="J96" s="37"/>
      <c r="K96" s="33"/>
      <c r="L96" s="33"/>
      <c r="M96" s="40"/>
      <c r="N96" s="33"/>
    </row>
    <row r="97" spans="1:14" ht="150" customHeight="1" x14ac:dyDescent="0.25">
      <c r="A97" s="43"/>
      <c r="B97" s="128"/>
      <c r="C97" s="64"/>
      <c r="D97" s="32"/>
      <c r="E97" s="32"/>
      <c r="F97" s="32"/>
      <c r="G97" s="31"/>
      <c r="H97" s="31"/>
      <c r="I97" s="33"/>
      <c r="J97" s="37"/>
      <c r="K97" s="33"/>
      <c r="L97" s="33"/>
      <c r="M97" s="40"/>
      <c r="N97" s="33"/>
    </row>
    <row r="98" spans="1:14" ht="150" customHeight="1" x14ac:dyDescent="0.25">
      <c r="A98" s="43"/>
      <c r="B98" s="128"/>
      <c r="C98" s="64"/>
      <c r="D98" s="32"/>
      <c r="E98" s="32"/>
      <c r="F98" s="32"/>
      <c r="G98" s="31"/>
      <c r="H98" s="31"/>
      <c r="I98" s="33"/>
      <c r="J98" s="37"/>
      <c r="K98" s="33"/>
      <c r="L98" s="33"/>
      <c r="M98" s="40"/>
      <c r="N98" s="33"/>
    </row>
    <row r="99" spans="1:14" ht="150" customHeight="1" x14ac:dyDescent="0.25">
      <c r="A99" s="43"/>
      <c r="B99" s="128"/>
      <c r="C99" s="64"/>
      <c r="D99" s="32"/>
      <c r="E99" s="32"/>
      <c r="F99" s="32"/>
      <c r="G99" s="31"/>
      <c r="H99" s="31"/>
      <c r="I99" s="33"/>
      <c r="J99" s="37"/>
      <c r="K99" s="33"/>
      <c r="L99" s="33"/>
      <c r="M99" s="40"/>
      <c r="N99" s="33"/>
    </row>
    <row r="100" spans="1:14" ht="150" customHeight="1" x14ac:dyDescent="0.25">
      <c r="A100" s="43"/>
      <c r="B100" s="128"/>
      <c r="C100" s="64"/>
      <c r="D100" s="32"/>
      <c r="E100" s="32"/>
      <c r="F100" s="32"/>
      <c r="G100" s="31"/>
      <c r="H100" s="31"/>
      <c r="I100" s="33"/>
      <c r="J100" s="37"/>
      <c r="K100" s="33"/>
      <c r="L100" s="33"/>
      <c r="M100" s="40"/>
      <c r="N100" s="33"/>
    </row>
    <row r="101" spans="1:14" ht="150" customHeight="1" x14ac:dyDescent="0.25">
      <c r="A101" s="43"/>
      <c r="B101" s="128"/>
      <c r="C101" s="64"/>
      <c r="D101" s="32"/>
      <c r="E101" s="32"/>
      <c r="F101" s="32"/>
      <c r="G101" s="31"/>
      <c r="H101" s="31"/>
      <c r="I101" s="33"/>
      <c r="J101" s="37"/>
      <c r="K101" s="33"/>
      <c r="L101" s="33"/>
      <c r="M101" s="40"/>
      <c r="N101" s="33"/>
    </row>
    <row r="102" spans="1:14" ht="150" customHeight="1" x14ac:dyDescent="0.25">
      <c r="A102" s="43"/>
      <c r="B102" s="128"/>
      <c r="C102" s="64"/>
      <c r="D102" s="32"/>
      <c r="E102" s="32"/>
      <c r="F102" s="32"/>
      <c r="G102" s="31"/>
      <c r="H102" s="31"/>
      <c r="I102" s="33"/>
      <c r="J102" s="37"/>
      <c r="K102" s="33"/>
      <c r="L102" s="33"/>
      <c r="M102" s="40"/>
      <c r="N102" s="33"/>
    </row>
    <row r="103" spans="1:14" ht="150" customHeight="1" x14ac:dyDescent="0.25">
      <c r="A103" s="43"/>
      <c r="B103" s="128"/>
      <c r="C103" s="64"/>
      <c r="D103" s="32"/>
      <c r="E103" s="32"/>
      <c r="F103" s="32"/>
      <c r="G103" s="31"/>
      <c r="H103" s="31"/>
      <c r="I103" s="33"/>
      <c r="J103" s="37"/>
      <c r="K103" s="33"/>
      <c r="L103" s="33"/>
      <c r="M103" s="40"/>
      <c r="N103" s="33"/>
    </row>
    <row r="104" spans="1:14" ht="150" customHeight="1" x14ac:dyDescent="0.25">
      <c r="A104" s="43"/>
      <c r="B104" s="128"/>
      <c r="C104" s="64"/>
      <c r="D104" s="32"/>
      <c r="E104" s="32"/>
      <c r="F104" s="32"/>
      <c r="G104" s="31"/>
      <c r="H104" s="31"/>
      <c r="I104" s="33"/>
      <c r="J104" s="37"/>
      <c r="K104" s="33"/>
      <c r="L104" s="33"/>
      <c r="M104" s="40"/>
      <c r="N104" s="33"/>
    </row>
    <row r="105" spans="1:14" ht="150" customHeight="1" x14ac:dyDescent="0.25">
      <c r="A105" s="43"/>
      <c r="B105" s="128"/>
      <c r="C105" s="64"/>
      <c r="D105" s="32"/>
      <c r="E105" s="32"/>
      <c r="F105" s="32"/>
      <c r="G105" s="31"/>
      <c r="H105" s="31"/>
      <c r="I105" s="33"/>
      <c r="J105" s="37"/>
      <c r="K105" s="33"/>
      <c r="L105" s="33"/>
      <c r="M105" s="40"/>
      <c r="N105" s="33"/>
    </row>
    <row r="106" spans="1:14" ht="150" customHeight="1" x14ac:dyDescent="0.25">
      <c r="A106" s="43"/>
      <c r="B106" s="128"/>
      <c r="C106" s="64"/>
      <c r="D106" s="32"/>
      <c r="E106" s="32"/>
      <c r="F106" s="32"/>
      <c r="G106" s="31"/>
      <c r="H106" s="31"/>
      <c r="I106" s="33"/>
      <c r="J106" s="37"/>
      <c r="K106" s="33"/>
      <c r="L106" s="33"/>
      <c r="M106" s="40"/>
      <c r="N106" s="33"/>
    </row>
    <row r="107" spans="1:14" ht="150" customHeight="1" x14ac:dyDescent="0.25">
      <c r="A107" s="43"/>
      <c r="B107" s="128"/>
      <c r="C107" s="64"/>
      <c r="D107" s="32"/>
      <c r="E107" s="32"/>
      <c r="F107" s="32"/>
      <c r="G107" s="31"/>
      <c r="H107" s="31"/>
      <c r="I107" s="33"/>
      <c r="J107" s="37"/>
      <c r="K107" s="33"/>
      <c r="L107" s="33"/>
      <c r="M107" s="40"/>
      <c r="N107" s="33"/>
    </row>
    <row r="108" spans="1:14" ht="150" customHeight="1" x14ac:dyDescent="0.25">
      <c r="A108" s="43"/>
      <c r="B108" s="128"/>
      <c r="C108" s="64"/>
      <c r="D108" s="32"/>
      <c r="E108" s="32"/>
      <c r="F108" s="32"/>
      <c r="G108" s="31"/>
      <c r="H108" s="31"/>
      <c r="I108" s="33"/>
      <c r="J108" s="37"/>
      <c r="K108" s="33"/>
      <c r="L108" s="33"/>
      <c r="M108" s="40"/>
      <c r="N108" s="33"/>
    </row>
    <row r="109" spans="1:14" ht="150" customHeight="1" x14ac:dyDescent="0.25">
      <c r="A109" s="43"/>
      <c r="B109" s="128"/>
      <c r="C109" s="64"/>
      <c r="D109" s="32"/>
      <c r="E109" s="32"/>
      <c r="F109" s="32"/>
      <c r="G109" s="31"/>
      <c r="H109" s="31"/>
      <c r="I109" s="33"/>
      <c r="J109" s="37"/>
      <c r="K109" s="33"/>
      <c r="L109" s="33"/>
      <c r="M109" s="40"/>
      <c r="N109" s="33"/>
    </row>
    <row r="110" spans="1:14" ht="150" customHeight="1" x14ac:dyDescent="0.25">
      <c r="A110" s="43"/>
      <c r="B110" s="128"/>
      <c r="C110" s="64"/>
      <c r="D110" s="32"/>
      <c r="E110" s="32"/>
      <c r="F110" s="32"/>
      <c r="G110" s="31"/>
      <c r="H110" s="31"/>
      <c r="I110" s="33"/>
      <c r="J110" s="37"/>
      <c r="K110" s="33"/>
      <c r="L110" s="33"/>
      <c r="M110" s="40"/>
      <c r="N110" s="33"/>
    </row>
    <row r="111" spans="1:14" ht="150" customHeight="1" x14ac:dyDescent="0.25">
      <c r="A111" s="43"/>
      <c r="B111" s="128"/>
      <c r="C111" s="64"/>
      <c r="D111" s="32"/>
      <c r="E111" s="32"/>
      <c r="F111" s="32"/>
      <c r="G111" s="31"/>
      <c r="H111" s="31"/>
      <c r="I111" s="33"/>
      <c r="J111" s="37"/>
      <c r="K111" s="33"/>
      <c r="L111" s="33"/>
      <c r="M111" s="40"/>
      <c r="N111" s="33"/>
    </row>
    <row r="112" spans="1:14" ht="150" customHeight="1" x14ac:dyDescent="0.25">
      <c r="A112" s="43"/>
      <c r="B112" s="128"/>
      <c r="C112" s="64"/>
      <c r="D112" s="32"/>
      <c r="E112" s="32"/>
      <c r="F112" s="32"/>
      <c r="G112" s="31"/>
      <c r="H112" s="31"/>
      <c r="I112" s="33"/>
      <c r="J112" s="37"/>
      <c r="K112" s="33"/>
      <c r="L112" s="33"/>
      <c r="M112" s="40"/>
      <c r="N112" s="33"/>
    </row>
    <row r="113" spans="1:14" ht="150" customHeight="1" x14ac:dyDescent="0.25">
      <c r="A113" s="43"/>
      <c r="B113" s="128"/>
      <c r="C113" s="64"/>
      <c r="D113" s="32"/>
      <c r="E113" s="32"/>
      <c r="F113" s="32"/>
      <c r="G113" s="31"/>
      <c r="H113" s="31"/>
      <c r="I113" s="33"/>
      <c r="J113" s="37"/>
      <c r="K113" s="33"/>
      <c r="L113" s="33"/>
      <c r="M113" s="40"/>
      <c r="N113" s="33"/>
    </row>
    <row r="114" spans="1:14" ht="150" customHeight="1" x14ac:dyDescent="0.25">
      <c r="A114" s="43"/>
      <c r="B114" s="128"/>
      <c r="C114" s="64"/>
      <c r="D114" s="32"/>
      <c r="E114" s="32"/>
      <c r="F114" s="32"/>
      <c r="G114" s="31"/>
      <c r="H114" s="31"/>
      <c r="I114" s="33"/>
      <c r="J114" s="37"/>
      <c r="K114" s="33"/>
      <c r="L114" s="33"/>
      <c r="M114" s="40"/>
      <c r="N114" s="33"/>
    </row>
    <row r="115" spans="1:14" ht="150" customHeight="1" x14ac:dyDescent="0.25">
      <c r="A115" s="43"/>
      <c r="B115" s="128"/>
      <c r="C115" s="64"/>
      <c r="D115" s="32"/>
      <c r="E115" s="32"/>
      <c r="F115" s="32"/>
      <c r="G115" s="31"/>
      <c r="H115" s="31"/>
      <c r="I115" s="33"/>
      <c r="J115" s="37"/>
      <c r="K115" s="33"/>
      <c r="L115" s="33"/>
      <c r="M115" s="40"/>
      <c r="N115" s="33"/>
    </row>
    <row r="116" spans="1:14" ht="150" customHeight="1" x14ac:dyDescent="0.25">
      <c r="A116" s="43"/>
      <c r="B116" s="128"/>
      <c r="C116" s="64"/>
      <c r="D116" s="32"/>
      <c r="E116" s="32"/>
      <c r="F116" s="32"/>
      <c r="G116" s="31"/>
      <c r="H116" s="31"/>
      <c r="I116" s="33"/>
      <c r="J116" s="37"/>
      <c r="K116" s="33"/>
      <c r="L116" s="33"/>
      <c r="M116" s="40"/>
      <c r="N116" s="33"/>
    </row>
    <row r="117" spans="1:14" ht="150" customHeight="1" x14ac:dyDescent="0.25">
      <c r="A117" s="43"/>
      <c r="B117" s="128"/>
      <c r="C117" s="64"/>
      <c r="D117" s="32"/>
      <c r="E117" s="32"/>
      <c r="F117" s="32"/>
      <c r="G117" s="31"/>
      <c r="H117" s="31"/>
      <c r="I117" s="33"/>
      <c r="J117" s="37"/>
      <c r="K117" s="33"/>
      <c r="L117" s="33"/>
      <c r="M117" s="40"/>
      <c r="N117" s="33"/>
    </row>
    <row r="118" spans="1:14" ht="150" customHeight="1" x14ac:dyDescent="0.25">
      <c r="A118" s="43"/>
      <c r="B118" s="128"/>
      <c r="C118" s="64"/>
      <c r="D118" s="32"/>
      <c r="E118" s="32"/>
      <c r="F118" s="32"/>
      <c r="G118" s="31"/>
      <c r="H118" s="31"/>
      <c r="I118" s="33"/>
      <c r="J118" s="37"/>
      <c r="K118" s="33"/>
      <c r="L118" s="33"/>
      <c r="M118" s="40"/>
      <c r="N118" s="33"/>
    </row>
    <row r="119" spans="1:14" ht="150" customHeight="1" x14ac:dyDescent="0.25">
      <c r="A119" s="43"/>
      <c r="B119" s="128"/>
      <c r="C119" s="64"/>
      <c r="D119" s="32"/>
      <c r="E119" s="32"/>
      <c r="F119" s="32"/>
      <c r="G119" s="31"/>
      <c r="H119" s="31"/>
      <c r="I119" s="33"/>
      <c r="J119" s="37"/>
      <c r="K119" s="33"/>
      <c r="L119" s="33"/>
      <c r="M119" s="40"/>
      <c r="N119" s="33"/>
    </row>
    <row r="120" spans="1:14" ht="150" customHeight="1" x14ac:dyDescent="0.25">
      <c r="A120" s="43"/>
      <c r="B120" s="128"/>
      <c r="C120" s="64"/>
      <c r="D120" s="32"/>
      <c r="E120" s="32"/>
      <c r="F120" s="32"/>
      <c r="G120" s="31"/>
      <c r="H120" s="31"/>
      <c r="I120" s="33"/>
      <c r="J120" s="37"/>
      <c r="K120" s="33"/>
      <c r="L120" s="33"/>
      <c r="M120" s="40"/>
      <c r="N120" s="33"/>
    </row>
    <row r="121" spans="1:14" ht="150" customHeight="1" x14ac:dyDescent="0.25">
      <c r="A121" s="43"/>
      <c r="B121" s="128"/>
      <c r="C121" s="64"/>
      <c r="D121" s="32"/>
      <c r="E121" s="32"/>
      <c r="F121" s="32"/>
      <c r="G121" s="31"/>
      <c r="H121" s="31"/>
      <c r="I121" s="33"/>
      <c r="J121" s="37"/>
      <c r="K121" s="33"/>
      <c r="L121" s="33"/>
      <c r="M121" s="40"/>
      <c r="N121" s="33"/>
    </row>
    <row r="122" spans="1:14" ht="150" customHeight="1" x14ac:dyDescent="0.25">
      <c r="A122" s="43"/>
      <c r="B122" s="128"/>
      <c r="C122" s="64"/>
      <c r="D122" s="32"/>
      <c r="E122" s="32"/>
      <c r="F122" s="32"/>
      <c r="G122" s="31"/>
      <c r="H122" s="31"/>
      <c r="I122" s="33"/>
      <c r="J122" s="37"/>
      <c r="K122" s="33"/>
      <c r="L122" s="33"/>
      <c r="M122" s="40"/>
      <c r="N122" s="33"/>
    </row>
    <row r="123" spans="1:14" ht="150" customHeight="1" x14ac:dyDescent="0.25">
      <c r="A123" s="43"/>
      <c r="B123" s="128"/>
      <c r="C123" s="64"/>
      <c r="D123" s="32"/>
      <c r="E123" s="32"/>
      <c r="F123" s="32"/>
      <c r="G123" s="31"/>
      <c r="H123" s="31"/>
      <c r="I123" s="33"/>
      <c r="J123" s="37"/>
      <c r="K123" s="33"/>
      <c r="L123" s="33"/>
      <c r="M123" s="40"/>
      <c r="N123" s="33"/>
    </row>
    <row r="124" spans="1:14" ht="150" customHeight="1" x14ac:dyDescent="0.25">
      <c r="A124" s="43"/>
      <c r="B124" s="128"/>
      <c r="C124" s="64"/>
      <c r="D124" s="32"/>
      <c r="E124" s="32"/>
      <c r="F124" s="32"/>
      <c r="G124" s="31"/>
      <c r="H124" s="31"/>
      <c r="I124" s="33"/>
      <c r="J124" s="37"/>
      <c r="K124" s="33"/>
      <c r="L124" s="33"/>
      <c r="M124" s="40"/>
      <c r="N124" s="33"/>
    </row>
    <row r="125" spans="1:14" ht="150" customHeight="1" x14ac:dyDescent="0.25">
      <c r="A125" s="43"/>
      <c r="B125" s="128"/>
      <c r="C125" s="64"/>
      <c r="D125" s="32"/>
      <c r="E125" s="32"/>
      <c r="F125" s="32"/>
      <c r="G125" s="31"/>
      <c r="H125" s="31"/>
      <c r="I125" s="33"/>
      <c r="J125" s="37"/>
      <c r="K125" s="33"/>
      <c r="L125" s="33"/>
      <c r="M125" s="40"/>
      <c r="N125" s="33"/>
    </row>
    <row r="126" spans="1:14" ht="150" customHeight="1" x14ac:dyDescent="0.25">
      <c r="A126" s="43"/>
      <c r="B126" s="128"/>
      <c r="C126" s="64"/>
      <c r="D126" s="32"/>
      <c r="E126" s="32"/>
      <c r="F126" s="32"/>
      <c r="G126" s="31"/>
      <c r="H126" s="31"/>
      <c r="I126" s="33"/>
      <c r="J126" s="37"/>
      <c r="K126" s="33"/>
      <c r="L126" s="33"/>
      <c r="M126" s="40"/>
      <c r="N126" s="33"/>
    </row>
    <row r="127" spans="1:14" ht="150" customHeight="1" x14ac:dyDescent="0.25">
      <c r="A127" s="43"/>
      <c r="B127" s="128"/>
      <c r="C127" s="64"/>
      <c r="D127" s="32"/>
      <c r="E127" s="32"/>
      <c r="F127" s="32"/>
      <c r="G127" s="31"/>
      <c r="H127" s="31"/>
      <c r="I127" s="33"/>
      <c r="J127" s="37"/>
      <c r="K127" s="33"/>
      <c r="L127" s="33"/>
      <c r="M127" s="40"/>
      <c r="N127" s="33"/>
    </row>
    <row r="128" spans="1:14" ht="150" customHeight="1" x14ac:dyDescent="0.25">
      <c r="A128" s="43"/>
      <c r="B128" s="128"/>
      <c r="C128" s="64"/>
      <c r="D128" s="32"/>
      <c r="E128" s="32"/>
      <c r="F128" s="32"/>
      <c r="G128" s="31"/>
      <c r="H128" s="31"/>
      <c r="I128" s="33"/>
      <c r="J128" s="37"/>
      <c r="K128" s="33"/>
      <c r="L128" s="33"/>
      <c r="M128" s="40"/>
      <c r="N128" s="33"/>
    </row>
    <row r="129" spans="1:14" ht="150" customHeight="1" x14ac:dyDescent="0.25">
      <c r="A129" s="43"/>
      <c r="B129" s="128"/>
      <c r="C129" s="64"/>
      <c r="D129" s="32"/>
      <c r="E129" s="32"/>
      <c r="F129" s="32"/>
      <c r="G129" s="31"/>
      <c r="H129" s="31"/>
      <c r="I129" s="33"/>
      <c r="J129" s="37"/>
      <c r="K129" s="33"/>
      <c r="L129" s="33"/>
      <c r="M129" s="40"/>
      <c r="N129" s="33"/>
    </row>
    <row r="130" spans="1:14" ht="150" customHeight="1" x14ac:dyDescent="0.25">
      <c r="A130" s="43"/>
      <c r="B130" s="128"/>
      <c r="C130" s="64"/>
      <c r="D130" s="32"/>
      <c r="E130" s="32"/>
      <c r="F130" s="32"/>
      <c r="G130" s="31"/>
      <c r="H130" s="31"/>
      <c r="I130" s="33"/>
      <c r="J130" s="37"/>
      <c r="K130" s="33"/>
      <c r="L130" s="33"/>
      <c r="M130" s="40"/>
      <c r="N130" s="33"/>
    </row>
    <row r="131" spans="1:14" ht="150" customHeight="1" x14ac:dyDescent="0.25">
      <c r="A131" s="43"/>
      <c r="B131" s="128"/>
      <c r="C131" s="64"/>
      <c r="D131" s="32"/>
      <c r="E131" s="32"/>
      <c r="F131" s="32"/>
      <c r="G131" s="31"/>
      <c r="H131" s="31"/>
      <c r="I131" s="33"/>
      <c r="J131" s="37"/>
      <c r="K131" s="33"/>
      <c r="L131" s="33"/>
      <c r="M131" s="40"/>
      <c r="N131" s="33"/>
    </row>
    <row r="132" spans="1:14" ht="150" customHeight="1" x14ac:dyDescent="0.25">
      <c r="A132" s="43"/>
      <c r="B132" s="128"/>
      <c r="C132" s="64"/>
      <c r="D132" s="32"/>
      <c r="E132" s="32"/>
      <c r="F132" s="32"/>
      <c r="G132" s="31"/>
      <c r="H132" s="31"/>
      <c r="I132" s="33"/>
      <c r="J132" s="37"/>
      <c r="K132" s="33"/>
      <c r="L132" s="33"/>
      <c r="M132" s="40"/>
      <c r="N132" s="33"/>
    </row>
    <row r="133" spans="1:14" ht="150" customHeight="1" x14ac:dyDescent="0.25">
      <c r="A133" s="43"/>
      <c r="B133" s="128"/>
      <c r="C133" s="64"/>
      <c r="D133" s="32"/>
      <c r="E133" s="32"/>
      <c r="F133" s="32"/>
      <c r="G133" s="31"/>
      <c r="H133" s="31"/>
      <c r="I133" s="33"/>
      <c r="J133" s="37"/>
      <c r="K133" s="33"/>
      <c r="L133" s="33"/>
      <c r="M133" s="40"/>
      <c r="N133" s="33"/>
    </row>
    <row r="134" spans="1:14" ht="150" customHeight="1" x14ac:dyDescent="0.25">
      <c r="A134" s="43"/>
      <c r="B134" s="128"/>
      <c r="C134" s="64"/>
      <c r="D134" s="32"/>
      <c r="E134" s="32"/>
      <c r="F134" s="32"/>
      <c r="G134" s="31"/>
      <c r="H134" s="31"/>
      <c r="I134" s="33"/>
      <c r="J134" s="37"/>
      <c r="K134" s="33"/>
      <c r="L134" s="33"/>
      <c r="M134" s="40"/>
      <c r="N134" s="33"/>
    </row>
    <row r="135" spans="1:14" ht="150" customHeight="1" x14ac:dyDescent="0.25">
      <c r="A135" s="43"/>
      <c r="B135" s="128"/>
      <c r="C135" s="64"/>
      <c r="D135" s="32"/>
      <c r="E135" s="32"/>
      <c r="F135" s="32"/>
      <c r="G135" s="31"/>
      <c r="H135" s="31"/>
      <c r="I135" s="33"/>
      <c r="J135" s="37"/>
      <c r="K135" s="33"/>
      <c r="L135" s="33"/>
      <c r="M135" s="40"/>
      <c r="N135" s="33"/>
    </row>
    <row r="136" spans="1:14" ht="150" customHeight="1" x14ac:dyDescent="0.25">
      <c r="A136" s="43"/>
      <c r="B136" s="128"/>
      <c r="C136" s="64"/>
      <c r="D136" s="32"/>
      <c r="E136" s="32"/>
      <c r="F136" s="32"/>
      <c r="G136" s="31"/>
      <c r="H136" s="31"/>
      <c r="I136" s="33"/>
      <c r="J136" s="37"/>
      <c r="K136" s="33"/>
      <c r="L136" s="33"/>
      <c r="M136" s="40"/>
      <c r="N136" s="33"/>
    </row>
    <row r="137" spans="1:14" ht="150" customHeight="1" x14ac:dyDescent="0.25">
      <c r="A137" s="43"/>
      <c r="B137" s="128"/>
      <c r="C137" s="64"/>
      <c r="D137" s="32"/>
      <c r="E137" s="32"/>
      <c r="F137" s="32"/>
      <c r="G137" s="31"/>
      <c r="H137" s="31"/>
      <c r="I137" s="33"/>
      <c r="J137" s="37"/>
      <c r="K137" s="33"/>
      <c r="L137" s="33"/>
      <c r="M137" s="40"/>
      <c r="N137" s="33"/>
    </row>
    <row r="138" spans="1:14" ht="150" customHeight="1" x14ac:dyDescent="0.25">
      <c r="A138" s="43"/>
      <c r="B138" s="128"/>
      <c r="C138" s="64"/>
      <c r="D138" s="32"/>
      <c r="E138" s="32"/>
      <c r="F138" s="32"/>
      <c r="G138" s="31"/>
      <c r="H138" s="31"/>
      <c r="I138" s="33"/>
      <c r="J138" s="37"/>
      <c r="K138" s="33"/>
      <c r="L138" s="33"/>
      <c r="M138" s="40"/>
      <c r="N138" s="33"/>
    </row>
    <row r="139" spans="1:14" ht="150" customHeight="1" x14ac:dyDescent="0.25">
      <c r="A139" s="43"/>
      <c r="B139" s="128"/>
      <c r="C139" s="64"/>
      <c r="D139" s="32"/>
      <c r="E139" s="32"/>
      <c r="F139" s="32"/>
      <c r="G139" s="31"/>
      <c r="H139" s="31"/>
      <c r="I139" s="33"/>
      <c r="J139" s="37"/>
      <c r="K139" s="33"/>
      <c r="L139" s="33"/>
      <c r="M139" s="40"/>
      <c r="N139" s="33"/>
    </row>
    <row r="140" spans="1:14" ht="150" customHeight="1" x14ac:dyDescent="0.25">
      <c r="A140" s="43"/>
      <c r="B140" s="128"/>
      <c r="C140" s="64"/>
      <c r="D140" s="32"/>
      <c r="E140" s="32"/>
      <c r="F140" s="32"/>
      <c r="G140" s="31"/>
      <c r="H140" s="31"/>
      <c r="I140" s="33"/>
      <c r="J140" s="37"/>
      <c r="K140" s="33"/>
      <c r="L140" s="33"/>
      <c r="M140" s="40"/>
      <c r="N140" s="33"/>
    </row>
    <row r="141" spans="1:14" ht="150" customHeight="1" x14ac:dyDescent="0.25">
      <c r="A141" s="43"/>
      <c r="B141" s="128"/>
      <c r="C141" s="64"/>
      <c r="D141" s="32"/>
      <c r="E141" s="32"/>
      <c r="F141" s="32"/>
      <c r="G141" s="31"/>
      <c r="H141" s="31"/>
      <c r="I141" s="33"/>
      <c r="J141" s="37"/>
      <c r="K141" s="33"/>
      <c r="L141" s="33"/>
      <c r="M141" s="40"/>
      <c r="N141" s="33"/>
    </row>
    <row r="142" spans="1:14" ht="150" customHeight="1" x14ac:dyDescent="0.25">
      <c r="A142" s="43"/>
      <c r="B142" s="128"/>
      <c r="C142" s="64"/>
      <c r="D142" s="32"/>
      <c r="E142" s="32"/>
      <c r="F142" s="32"/>
      <c r="G142" s="31"/>
      <c r="H142" s="31"/>
      <c r="I142" s="33"/>
      <c r="J142" s="37"/>
      <c r="K142" s="33"/>
      <c r="L142" s="33"/>
      <c r="M142" s="40"/>
      <c r="N142" s="33"/>
    </row>
    <row r="143" spans="1:14" ht="150" customHeight="1" x14ac:dyDescent="0.25">
      <c r="A143" s="43"/>
      <c r="B143" s="128"/>
      <c r="C143" s="64"/>
      <c r="D143" s="32"/>
      <c r="E143" s="32"/>
      <c r="F143" s="32"/>
      <c r="G143" s="31"/>
      <c r="H143" s="31"/>
      <c r="I143" s="33"/>
      <c r="J143" s="37"/>
      <c r="K143" s="33"/>
      <c r="L143" s="33"/>
      <c r="M143" s="40"/>
      <c r="N143" s="33"/>
    </row>
    <row r="144" spans="1:14" ht="150" customHeight="1" x14ac:dyDescent="0.25">
      <c r="A144" s="43"/>
      <c r="B144" s="128"/>
      <c r="C144" s="64"/>
      <c r="D144" s="32"/>
      <c r="E144" s="32"/>
      <c r="F144" s="32"/>
      <c r="G144" s="31"/>
      <c r="H144" s="31"/>
      <c r="I144" s="33"/>
      <c r="J144" s="37"/>
      <c r="K144" s="33"/>
      <c r="L144" s="33"/>
      <c r="M144" s="40"/>
      <c r="N144" s="33"/>
    </row>
    <row r="145" spans="1:14" ht="150" customHeight="1" x14ac:dyDescent="0.25">
      <c r="A145" s="43"/>
      <c r="B145" s="128"/>
      <c r="C145" s="64"/>
      <c r="D145" s="32"/>
      <c r="E145" s="32"/>
      <c r="F145" s="32"/>
      <c r="G145" s="31"/>
      <c r="H145" s="31"/>
      <c r="I145" s="33"/>
      <c r="J145" s="37"/>
      <c r="K145" s="33"/>
      <c r="L145" s="33"/>
      <c r="M145" s="40"/>
      <c r="N145" s="33"/>
    </row>
    <row r="146" spans="1:14" ht="150" customHeight="1" x14ac:dyDescent="0.25">
      <c r="A146" s="43"/>
      <c r="B146" s="128"/>
      <c r="C146" s="64"/>
      <c r="D146" s="32"/>
      <c r="E146" s="32"/>
      <c r="F146" s="32"/>
      <c r="G146" s="31"/>
      <c r="H146" s="31"/>
      <c r="I146" s="33"/>
      <c r="J146" s="37"/>
      <c r="K146" s="33"/>
      <c r="L146" s="33"/>
      <c r="M146" s="40"/>
      <c r="N146" s="33"/>
    </row>
    <row r="147" spans="1:14" ht="150" customHeight="1" x14ac:dyDescent="0.25">
      <c r="A147" s="43"/>
      <c r="B147" s="128"/>
      <c r="C147" s="64"/>
      <c r="D147" s="32"/>
      <c r="E147" s="32"/>
      <c r="F147" s="32"/>
      <c r="G147" s="31"/>
      <c r="H147" s="31"/>
      <c r="I147" s="33"/>
      <c r="J147" s="37"/>
      <c r="K147" s="33"/>
      <c r="L147" s="33"/>
      <c r="M147" s="40"/>
      <c r="N147" s="33"/>
    </row>
    <row r="148" spans="1:14" ht="150" customHeight="1" x14ac:dyDescent="0.25">
      <c r="A148" s="43"/>
      <c r="B148" s="128"/>
      <c r="C148" s="64"/>
      <c r="D148" s="32"/>
      <c r="E148" s="32"/>
      <c r="F148" s="32"/>
      <c r="G148" s="31"/>
      <c r="H148" s="31"/>
      <c r="I148" s="33"/>
      <c r="J148" s="37"/>
      <c r="K148" s="33"/>
      <c r="L148" s="33"/>
      <c r="M148" s="40"/>
      <c r="N148" s="33"/>
    </row>
    <row r="149" spans="1:14" ht="150" customHeight="1" x14ac:dyDescent="0.25">
      <c r="A149" s="43"/>
      <c r="B149" s="128"/>
      <c r="C149" s="64"/>
      <c r="D149" s="32"/>
      <c r="E149" s="32"/>
      <c r="F149" s="32"/>
      <c r="G149" s="31"/>
      <c r="H149" s="31"/>
      <c r="I149" s="33"/>
      <c r="J149" s="37"/>
      <c r="K149" s="33"/>
      <c r="L149" s="33"/>
      <c r="M149" s="40"/>
      <c r="N149" s="33"/>
    </row>
    <row r="150" spans="1:14" ht="150" customHeight="1" x14ac:dyDescent="0.25">
      <c r="A150" s="43"/>
      <c r="B150" s="128"/>
      <c r="C150" s="64"/>
      <c r="D150" s="32"/>
      <c r="E150" s="32"/>
      <c r="F150" s="32"/>
      <c r="G150" s="31"/>
      <c r="H150" s="31"/>
      <c r="I150" s="33"/>
      <c r="J150" s="37"/>
      <c r="K150" s="33"/>
      <c r="L150" s="33"/>
      <c r="M150" s="40"/>
      <c r="N150" s="33"/>
    </row>
    <row r="151" spans="1:14" ht="150" customHeight="1" x14ac:dyDescent="0.25">
      <c r="A151" s="43"/>
      <c r="B151" s="128"/>
      <c r="C151" s="64"/>
      <c r="D151" s="32"/>
      <c r="E151" s="32"/>
      <c r="F151" s="32"/>
      <c r="G151" s="31"/>
      <c r="H151" s="31"/>
      <c r="I151" s="33"/>
      <c r="J151" s="37"/>
      <c r="K151" s="33"/>
      <c r="L151" s="33"/>
      <c r="M151" s="40"/>
      <c r="N151" s="33"/>
    </row>
    <row r="152" spans="1:14" ht="150" customHeight="1" x14ac:dyDescent="0.25">
      <c r="A152" s="43"/>
      <c r="B152" s="128"/>
      <c r="C152" s="64"/>
      <c r="D152" s="32"/>
      <c r="E152" s="32"/>
      <c r="F152" s="32"/>
      <c r="G152" s="31"/>
      <c r="H152" s="31"/>
      <c r="I152" s="33"/>
      <c r="J152" s="37"/>
      <c r="K152" s="33"/>
      <c r="L152" s="33"/>
      <c r="M152" s="40"/>
      <c r="N152" s="33"/>
    </row>
    <row r="153" spans="1:14" ht="150" customHeight="1" x14ac:dyDescent="0.25">
      <c r="A153" s="43"/>
      <c r="B153" s="128"/>
      <c r="C153" s="64"/>
      <c r="D153" s="32"/>
      <c r="E153" s="32"/>
      <c r="F153" s="32"/>
      <c r="G153" s="31"/>
      <c r="H153" s="31"/>
      <c r="I153" s="33"/>
      <c r="J153" s="37"/>
      <c r="K153" s="33"/>
      <c r="L153" s="33"/>
      <c r="M153" s="40"/>
      <c r="N153" s="33"/>
    </row>
    <row r="154" spans="1:14" ht="150" customHeight="1" x14ac:dyDescent="0.25">
      <c r="A154" s="43"/>
      <c r="B154" s="128"/>
      <c r="C154" s="64"/>
      <c r="D154" s="32"/>
      <c r="E154" s="32"/>
      <c r="F154" s="32"/>
      <c r="G154" s="31"/>
      <c r="H154" s="31"/>
      <c r="I154" s="33"/>
      <c r="J154" s="37"/>
      <c r="K154" s="33"/>
      <c r="L154" s="33"/>
      <c r="M154" s="40"/>
      <c r="N154" s="33"/>
    </row>
    <row r="155" spans="1:14" ht="150" customHeight="1" x14ac:dyDescent="0.25">
      <c r="A155" s="43"/>
      <c r="B155" s="128"/>
      <c r="C155" s="64"/>
      <c r="D155" s="32"/>
      <c r="E155" s="32"/>
      <c r="F155" s="32"/>
      <c r="G155" s="31"/>
      <c r="H155" s="31"/>
      <c r="I155" s="33"/>
      <c r="J155" s="37"/>
      <c r="K155" s="33"/>
      <c r="L155" s="33"/>
      <c r="M155" s="40"/>
      <c r="N155" s="33"/>
    </row>
    <row r="156" spans="1:14" ht="150" customHeight="1" x14ac:dyDescent="0.25">
      <c r="A156" s="43"/>
      <c r="B156" s="128"/>
      <c r="C156" s="64"/>
      <c r="D156" s="32"/>
      <c r="E156" s="32"/>
      <c r="F156" s="32"/>
      <c r="G156" s="31"/>
      <c r="H156" s="31"/>
      <c r="I156" s="33"/>
      <c r="J156" s="37"/>
      <c r="K156" s="33"/>
      <c r="L156" s="33"/>
      <c r="M156" s="40"/>
      <c r="N156" s="33"/>
    </row>
    <row r="157" spans="1:14" ht="150" customHeight="1" x14ac:dyDescent="0.25">
      <c r="A157" s="43"/>
      <c r="B157" s="128"/>
      <c r="C157" s="64"/>
      <c r="D157" s="32"/>
      <c r="E157" s="32"/>
      <c r="F157" s="32"/>
      <c r="G157" s="31"/>
      <c r="H157" s="31"/>
      <c r="I157" s="33"/>
      <c r="J157" s="37"/>
      <c r="K157" s="33"/>
      <c r="L157" s="33"/>
      <c r="M157" s="40"/>
      <c r="N157" s="33"/>
    </row>
    <row r="158" spans="1:14" ht="150" customHeight="1" x14ac:dyDescent="0.25">
      <c r="A158" s="43"/>
      <c r="B158" s="128"/>
      <c r="C158" s="64"/>
      <c r="D158" s="32"/>
      <c r="E158" s="32"/>
      <c r="F158" s="32"/>
      <c r="G158" s="31"/>
      <c r="H158" s="31"/>
      <c r="I158" s="33"/>
      <c r="J158" s="37"/>
      <c r="K158" s="33"/>
      <c r="L158" s="33"/>
      <c r="M158" s="40"/>
      <c r="N158" s="33"/>
    </row>
    <row r="159" spans="1:14" ht="150" customHeight="1" x14ac:dyDescent="0.25">
      <c r="A159" s="43"/>
      <c r="B159" s="128"/>
      <c r="C159" s="64"/>
      <c r="D159" s="32"/>
      <c r="E159" s="32"/>
      <c r="F159" s="32"/>
      <c r="G159" s="31"/>
      <c r="H159" s="31"/>
      <c r="I159" s="33"/>
      <c r="J159" s="37"/>
      <c r="K159" s="33"/>
      <c r="L159" s="33"/>
      <c r="M159" s="40"/>
      <c r="N159" s="33"/>
    </row>
    <row r="160" spans="1:14" ht="150" customHeight="1" x14ac:dyDescent="0.25">
      <c r="A160" s="43"/>
      <c r="B160" s="128"/>
      <c r="C160" s="64"/>
      <c r="D160" s="32"/>
      <c r="E160" s="32"/>
      <c r="F160" s="32"/>
      <c r="G160" s="31"/>
      <c r="H160" s="31"/>
      <c r="I160" s="33"/>
      <c r="J160" s="37"/>
      <c r="K160" s="33"/>
      <c r="L160" s="33"/>
      <c r="M160" s="40"/>
      <c r="N160" s="33"/>
    </row>
    <row r="161" spans="1:14" ht="150" customHeight="1" x14ac:dyDescent="0.25">
      <c r="A161" s="43"/>
      <c r="B161" s="128"/>
      <c r="C161" s="64"/>
      <c r="D161" s="32"/>
      <c r="E161" s="32"/>
      <c r="F161" s="32"/>
      <c r="G161" s="31"/>
      <c r="H161" s="31"/>
      <c r="I161" s="33"/>
      <c r="J161" s="37"/>
      <c r="K161" s="33"/>
      <c r="L161" s="33"/>
      <c r="M161" s="40"/>
      <c r="N161" s="33"/>
    </row>
    <row r="162" spans="1:14" ht="150" customHeight="1" x14ac:dyDescent="0.25">
      <c r="A162" s="43"/>
      <c r="B162" s="128"/>
      <c r="C162" s="64"/>
      <c r="D162" s="32"/>
      <c r="E162" s="32"/>
      <c r="F162" s="32"/>
      <c r="G162" s="31"/>
      <c r="H162" s="31"/>
      <c r="I162" s="33"/>
      <c r="J162" s="37"/>
      <c r="K162" s="33"/>
      <c r="L162" s="33"/>
      <c r="M162" s="40"/>
      <c r="N162" s="33"/>
    </row>
    <row r="163" spans="1:14" ht="150" customHeight="1" x14ac:dyDescent="0.25">
      <c r="A163" s="43"/>
      <c r="B163" s="128"/>
      <c r="C163" s="64"/>
      <c r="D163" s="32"/>
      <c r="E163" s="32"/>
      <c r="F163" s="32"/>
      <c r="G163" s="31"/>
      <c r="H163" s="31"/>
      <c r="I163" s="33"/>
      <c r="J163" s="37"/>
      <c r="K163" s="33"/>
      <c r="L163" s="33"/>
      <c r="M163" s="40"/>
      <c r="N163" s="33"/>
    </row>
    <row r="164" spans="1:14" ht="150" customHeight="1" x14ac:dyDescent="0.25">
      <c r="A164" s="43"/>
      <c r="B164" s="128"/>
      <c r="C164" s="64"/>
      <c r="D164" s="32"/>
      <c r="E164" s="32"/>
      <c r="F164" s="32"/>
      <c r="G164" s="31"/>
      <c r="H164" s="31"/>
      <c r="I164" s="33"/>
      <c r="J164" s="37"/>
      <c r="K164" s="33"/>
      <c r="L164" s="33"/>
      <c r="M164" s="40"/>
      <c r="N164" s="33"/>
    </row>
    <row r="165" spans="1:14" ht="150" customHeight="1" x14ac:dyDescent="0.25">
      <c r="A165" s="43"/>
      <c r="B165" s="128"/>
      <c r="C165" s="64"/>
      <c r="D165" s="32"/>
      <c r="E165" s="32"/>
      <c r="F165" s="32"/>
      <c r="G165" s="31"/>
      <c r="H165" s="31"/>
      <c r="I165" s="33"/>
      <c r="J165" s="37"/>
      <c r="K165" s="33"/>
      <c r="L165" s="33"/>
      <c r="M165" s="40"/>
      <c r="N165" s="33"/>
    </row>
    <row r="166" spans="1:14" ht="150" customHeight="1" x14ac:dyDescent="0.25">
      <c r="A166" s="43"/>
      <c r="B166" s="128"/>
      <c r="C166" s="64"/>
      <c r="D166" s="32"/>
      <c r="E166" s="32"/>
      <c r="F166" s="32"/>
      <c r="G166" s="31"/>
      <c r="H166" s="31"/>
      <c r="I166" s="33"/>
      <c r="J166" s="37"/>
      <c r="K166" s="33"/>
      <c r="L166" s="33"/>
      <c r="M166" s="40"/>
      <c r="N166" s="33"/>
    </row>
    <row r="167" spans="1:14" ht="150" customHeight="1" x14ac:dyDescent="0.25">
      <c r="A167" s="43"/>
      <c r="B167" s="128"/>
      <c r="C167" s="64"/>
      <c r="D167" s="32"/>
      <c r="E167" s="32"/>
      <c r="F167" s="32"/>
      <c r="G167" s="31"/>
      <c r="H167" s="31"/>
      <c r="I167" s="33"/>
      <c r="J167" s="37"/>
      <c r="K167" s="33"/>
      <c r="L167" s="33"/>
      <c r="M167" s="40"/>
      <c r="N167" s="33"/>
    </row>
    <row r="168" spans="1:14" ht="150" customHeight="1" x14ac:dyDescent="0.25">
      <c r="A168" s="43"/>
      <c r="B168" s="128"/>
      <c r="C168" s="64"/>
      <c r="D168" s="32"/>
      <c r="E168" s="32"/>
      <c r="F168" s="32"/>
      <c r="G168" s="31"/>
      <c r="H168" s="31"/>
      <c r="I168" s="33"/>
      <c r="J168" s="37"/>
      <c r="K168" s="33"/>
      <c r="L168" s="33"/>
      <c r="M168" s="40"/>
      <c r="N168" s="33"/>
    </row>
    <row r="169" spans="1:14" ht="150" customHeight="1" x14ac:dyDescent="0.25">
      <c r="A169" s="43"/>
      <c r="B169" s="128"/>
      <c r="C169" s="64"/>
      <c r="D169" s="32"/>
      <c r="E169" s="32"/>
      <c r="F169" s="32"/>
      <c r="G169" s="31"/>
      <c r="H169" s="31"/>
      <c r="I169" s="33"/>
      <c r="J169" s="37"/>
      <c r="K169" s="33"/>
      <c r="L169" s="33"/>
      <c r="M169" s="40"/>
      <c r="N169" s="33"/>
    </row>
    <row r="170" spans="1:14" ht="150" customHeight="1" x14ac:dyDescent="0.25">
      <c r="A170" s="43"/>
      <c r="B170" s="128"/>
      <c r="C170" s="64"/>
      <c r="D170" s="32"/>
      <c r="E170" s="32"/>
      <c r="F170" s="32"/>
      <c r="G170" s="31"/>
      <c r="H170" s="31"/>
      <c r="I170" s="33"/>
      <c r="J170" s="37"/>
      <c r="K170" s="33"/>
      <c r="L170" s="33"/>
      <c r="M170" s="40"/>
      <c r="N170" s="33"/>
    </row>
    <row r="171" spans="1:14" ht="150" customHeight="1" x14ac:dyDescent="0.25">
      <c r="A171" s="43"/>
      <c r="B171" s="128"/>
      <c r="C171" s="64"/>
      <c r="D171" s="32"/>
      <c r="E171" s="32"/>
      <c r="F171" s="32"/>
      <c r="G171" s="31"/>
      <c r="H171" s="31"/>
      <c r="I171" s="33"/>
      <c r="J171" s="37"/>
      <c r="K171" s="33"/>
      <c r="L171" s="33"/>
      <c r="M171" s="40"/>
      <c r="N171" s="33"/>
    </row>
    <row r="172" spans="1:14" ht="150" customHeight="1" x14ac:dyDescent="0.25">
      <c r="A172" s="43"/>
      <c r="B172" s="128"/>
      <c r="C172" s="64"/>
      <c r="D172" s="32"/>
      <c r="E172" s="32"/>
      <c r="F172" s="32"/>
      <c r="G172" s="31"/>
      <c r="H172" s="31"/>
      <c r="I172" s="33"/>
      <c r="J172" s="37"/>
      <c r="K172" s="33"/>
      <c r="L172" s="33"/>
      <c r="M172" s="40"/>
      <c r="N172" s="33"/>
    </row>
    <row r="173" spans="1:14" ht="150" customHeight="1" x14ac:dyDescent="0.25">
      <c r="A173" s="43"/>
      <c r="B173" s="128"/>
      <c r="C173" s="64"/>
      <c r="D173" s="32"/>
      <c r="E173" s="32"/>
      <c r="F173" s="32"/>
      <c r="G173" s="31"/>
      <c r="H173" s="31"/>
      <c r="I173" s="33"/>
      <c r="J173" s="37"/>
      <c r="K173" s="33"/>
      <c r="L173" s="33"/>
      <c r="M173" s="40"/>
      <c r="N173" s="33"/>
    </row>
    <row r="174" spans="1:14" ht="150" customHeight="1" x14ac:dyDescent="0.25">
      <c r="A174" s="43"/>
      <c r="B174" s="128"/>
      <c r="C174" s="64"/>
      <c r="D174" s="32"/>
      <c r="E174" s="32"/>
      <c r="F174" s="32"/>
      <c r="G174" s="31"/>
      <c r="H174" s="31"/>
      <c r="I174" s="33"/>
      <c r="J174" s="37"/>
      <c r="K174" s="33"/>
      <c r="L174" s="33"/>
      <c r="M174" s="40"/>
      <c r="N174" s="33"/>
    </row>
    <row r="175" spans="1:14" ht="150" customHeight="1" x14ac:dyDescent="0.25">
      <c r="A175" s="43"/>
      <c r="B175" s="128"/>
      <c r="C175" s="64"/>
      <c r="D175" s="32"/>
      <c r="E175" s="32"/>
      <c r="F175" s="32"/>
      <c r="G175" s="31"/>
      <c r="H175" s="31"/>
      <c r="I175" s="33"/>
      <c r="J175" s="37"/>
      <c r="K175" s="33"/>
      <c r="L175" s="33"/>
      <c r="M175" s="40"/>
      <c r="N175" s="33"/>
    </row>
    <row r="176" spans="1:14" ht="150" customHeight="1" x14ac:dyDescent="0.25">
      <c r="A176" s="43"/>
      <c r="B176" s="128"/>
      <c r="C176" s="64"/>
      <c r="D176" s="32"/>
      <c r="E176" s="32"/>
      <c r="F176" s="32"/>
      <c r="G176" s="31"/>
      <c r="H176" s="31"/>
      <c r="I176" s="33"/>
      <c r="J176" s="37"/>
      <c r="K176" s="33"/>
      <c r="L176" s="33"/>
      <c r="M176" s="40"/>
      <c r="N176" s="33"/>
    </row>
    <row r="177" spans="1:14" ht="150" customHeight="1" x14ac:dyDescent="0.25">
      <c r="A177" s="43"/>
      <c r="B177" s="128"/>
      <c r="C177" s="64"/>
      <c r="D177" s="32"/>
      <c r="E177" s="32"/>
      <c r="F177" s="32"/>
      <c r="G177" s="31"/>
      <c r="H177" s="31"/>
      <c r="I177" s="33"/>
      <c r="J177" s="37"/>
      <c r="K177" s="33"/>
      <c r="L177" s="33"/>
      <c r="M177" s="40"/>
      <c r="N177" s="33"/>
    </row>
    <row r="178" spans="1:14" ht="150" customHeight="1" x14ac:dyDescent="0.25">
      <c r="A178" s="43"/>
      <c r="B178" s="128"/>
      <c r="C178" s="64"/>
      <c r="D178" s="32"/>
      <c r="E178" s="32"/>
      <c r="F178" s="32"/>
      <c r="G178" s="31"/>
      <c r="H178" s="31"/>
      <c r="I178" s="33"/>
      <c r="J178" s="37"/>
      <c r="K178" s="33"/>
      <c r="L178" s="33"/>
      <c r="M178" s="40"/>
      <c r="N178" s="33"/>
    </row>
    <row r="179" spans="1:14" ht="150" customHeight="1" x14ac:dyDescent="0.25">
      <c r="A179" s="43"/>
      <c r="B179" s="128"/>
      <c r="C179" s="64"/>
      <c r="D179" s="32"/>
      <c r="E179" s="32"/>
      <c r="F179" s="32"/>
      <c r="G179" s="31"/>
      <c r="H179" s="31"/>
      <c r="I179" s="33"/>
      <c r="J179" s="37"/>
      <c r="K179" s="33"/>
      <c r="L179" s="33"/>
      <c r="M179" s="40"/>
      <c r="N179" s="33"/>
    </row>
    <row r="180" spans="1:14" ht="150" customHeight="1" x14ac:dyDescent="0.25">
      <c r="A180" s="43"/>
      <c r="B180" s="128"/>
      <c r="C180" s="64"/>
      <c r="D180" s="32"/>
      <c r="E180" s="32"/>
      <c r="F180" s="32"/>
      <c r="G180" s="31"/>
      <c r="H180" s="31"/>
      <c r="I180" s="33"/>
      <c r="J180" s="37"/>
      <c r="K180" s="33"/>
      <c r="L180" s="33"/>
      <c r="M180" s="40"/>
      <c r="N180" s="33"/>
    </row>
    <row r="181" spans="1:14" ht="150" customHeight="1" x14ac:dyDescent="0.25">
      <c r="A181" s="43"/>
      <c r="B181" s="128"/>
      <c r="C181" s="64"/>
      <c r="D181" s="32"/>
      <c r="E181" s="32"/>
      <c r="F181" s="32"/>
      <c r="G181" s="31"/>
      <c r="H181" s="31"/>
      <c r="I181" s="33"/>
      <c r="J181" s="37"/>
      <c r="K181" s="33"/>
      <c r="L181" s="33"/>
      <c r="M181" s="40"/>
      <c r="N181" s="33"/>
    </row>
    <row r="182" spans="1:14" ht="150" customHeight="1" x14ac:dyDescent="0.25">
      <c r="A182" s="43"/>
      <c r="B182" s="128"/>
      <c r="C182" s="64"/>
      <c r="D182" s="32"/>
      <c r="E182" s="32"/>
      <c r="F182" s="32"/>
      <c r="G182" s="31"/>
      <c r="H182" s="31"/>
      <c r="I182" s="33"/>
      <c r="J182" s="37"/>
      <c r="K182" s="33"/>
      <c r="L182" s="33"/>
      <c r="M182" s="40"/>
      <c r="N182" s="33"/>
    </row>
    <row r="183" spans="1:14" ht="150" customHeight="1" x14ac:dyDescent="0.25">
      <c r="A183" s="43"/>
      <c r="B183" s="128"/>
      <c r="C183" s="64"/>
      <c r="D183" s="32"/>
      <c r="E183" s="32"/>
      <c r="F183" s="32"/>
      <c r="G183" s="31"/>
      <c r="H183" s="31"/>
      <c r="I183" s="33"/>
      <c r="J183" s="37"/>
      <c r="K183" s="33"/>
      <c r="L183" s="33"/>
      <c r="M183" s="40"/>
      <c r="N183" s="33"/>
    </row>
    <row r="184" spans="1:14" ht="150" customHeight="1" x14ac:dyDescent="0.25">
      <c r="A184" s="43"/>
      <c r="B184" s="128"/>
      <c r="C184" s="64"/>
      <c r="D184" s="32"/>
      <c r="E184" s="32"/>
      <c r="F184" s="32"/>
      <c r="G184" s="31"/>
      <c r="H184" s="31"/>
      <c r="I184" s="33"/>
      <c r="J184" s="37"/>
      <c r="K184" s="33"/>
      <c r="L184" s="33"/>
      <c r="M184" s="40"/>
      <c r="N184" s="33"/>
    </row>
    <row r="185" spans="1:14" ht="150" customHeight="1" x14ac:dyDescent="0.25">
      <c r="A185" s="43"/>
      <c r="B185" s="128"/>
      <c r="C185" s="64"/>
      <c r="D185" s="32"/>
      <c r="E185" s="32"/>
      <c r="F185" s="32"/>
      <c r="G185" s="31"/>
      <c r="H185" s="31"/>
      <c r="I185" s="33"/>
      <c r="J185" s="37"/>
      <c r="K185" s="33"/>
      <c r="L185" s="33"/>
      <c r="M185" s="40"/>
      <c r="N185" s="33"/>
    </row>
    <row r="186" spans="1:14" ht="150" customHeight="1" x14ac:dyDescent="0.25">
      <c r="A186" s="43"/>
      <c r="B186" s="128"/>
      <c r="C186" s="64"/>
      <c r="D186" s="32"/>
      <c r="E186" s="32"/>
      <c r="F186" s="32"/>
      <c r="G186" s="31"/>
      <c r="H186" s="31"/>
      <c r="I186" s="33"/>
      <c r="J186" s="37"/>
      <c r="K186" s="33"/>
      <c r="L186" s="33"/>
      <c r="M186" s="40"/>
      <c r="N186" s="33"/>
    </row>
    <row r="187" spans="1:14" ht="150" customHeight="1" x14ac:dyDescent="0.25">
      <c r="A187" s="43"/>
      <c r="B187" s="128"/>
      <c r="C187" s="64"/>
      <c r="D187" s="32"/>
      <c r="E187" s="32"/>
      <c r="F187" s="32"/>
      <c r="G187" s="31"/>
      <c r="H187" s="31"/>
      <c r="I187" s="33"/>
      <c r="J187" s="37"/>
      <c r="K187" s="33"/>
      <c r="L187" s="33"/>
      <c r="M187" s="40"/>
      <c r="N187" s="33"/>
    </row>
    <row r="188" spans="1:14" ht="150" customHeight="1" x14ac:dyDescent="0.25">
      <c r="A188" s="43"/>
      <c r="B188" s="128"/>
      <c r="C188" s="64"/>
      <c r="D188" s="32"/>
      <c r="E188" s="32"/>
      <c r="F188" s="32"/>
      <c r="G188" s="31"/>
      <c r="H188" s="31"/>
      <c r="I188" s="33"/>
      <c r="J188" s="37"/>
      <c r="K188" s="33"/>
      <c r="L188" s="33"/>
      <c r="M188" s="40"/>
      <c r="N188" s="33"/>
    </row>
    <row r="189" spans="1:14" ht="150" customHeight="1" x14ac:dyDescent="0.25">
      <c r="A189" s="43"/>
      <c r="B189" s="128"/>
      <c r="C189" s="64"/>
      <c r="D189" s="32"/>
      <c r="E189" s="32"/>
      <c r="F189" s="32"/>
      <c r="G189" s="31"/>
      <c r="H189" s="31"/>
      <c r="I189" s="33"/>
      <c r="J189" s="37"/>
      <c r="K189" s="33"/>
      <c r="L189" s="33"/>
      <c r="M189" s="40"/>
      <c r="N189" s="33"/>
    </row>
    <row r="190" spans="1:14" ht="150" customHeight="1" x14ac:dyDescent="0.25">
      <c r="A190" s="43"/>
      <c r="B190" s="128"/>
      <c r="C190" s="64"/>
      <c r="D190" s="32"/>
      <c r="E190" s="32"/>
      <c r="F190" s="32"/>
      <c r="G190" s="31"/>
      <c r="H190" s="31"/>
      <c r="I190" s="33"/>
      <c r="J190" s="37"/>
      <c r="K190" s="33"/>
      <c r="L190" s="33"/>
      <c r="M190" s="40"/>
      <c r="N190" s="33"/>
    </row>
    <row r="191" spans="1:14" ht="150" customHeight="1" x14ac:dyDescent="0.25">
      <c r="A191" s="43"/>
      <c r="B191" s="128"/>
      <c r="C191" s="64"/>
      <c r="D191" s="32"/>
      <c r="E191" s="32"/>
      <c r="F191" s="32"/>
      <c r="G191" s="31"/>
      <c r="H191" s="31"/>
      <c r="I191" s="33"/>
      <c r="J191" s="37"/>
      <c r="K191" s="33"/>
      <c r="L191" s="33"/>
      <c r="M191" s="40"/>
      <c r="N191" s="33"/>
    </row>
    <row r="192" spans="1:14" ht="150" customHeight="1" x14ac:dyDescent="0.25">
      <c r="A192" s="43"/>
      <c r="B192" s="128"/>
      <c r="C192" s="64"/>
      <c r="D192" s="32"/>
      <c r="E192" s="32"/>
      <c r="F192" s="32"/>
      <c r="G192" s="31"/>
      <c r="H192" s="31"/>
      <c r="I192" s="33"/>
      <c r="J192" s="37"/>
      <c r="K192" s="33"/>
      <c r="L192" s="33"/>
      <c r="M192" s="40"/>
      <c r="N192" s="33"/>
    </row>
    <row r="193" spans="1:14" ht="150" customHeight="1" x14ac:dyDescent="0.25">
      <c r="A193" s="43"/>
      <c r="B193" s="128"/>
      <c r="C193" s="64"/>
      <c r="D193" s="32"/>
      <c r="E193" s="32"/>
      <c r="F193" s="32"/>
      <c r="G193" s="31"/>
      <c r="H193" s="31"/>
      <c r="I193" s="33"/>
      <c r="J193" s="37"/>
      <c r="K193" s="33"/>
      <c r="L193" s="33"/>
      <c r="M193" s="40"/>
      <c r="N193" s="33"/>
    </row>
    <row r="194" spans="1:14" ht="150" customHeight="1" x14ac:dyDescent="0.25">
      <c r="A194" s="43"/>
      <c r="B194" s="128"/>
      <c r="C194" s="64"/>
      <c r="D194" s="32"/>
      <c r="E194" s="32"/>
      <c r="F194" s="32"/>
      <c r="G194" s="31"/>
      <c r="H194" s="31"/>
      <c r="I194" s="33"/>
      <c r="J194" s="37"/>
      <c r="K194" s="33"/>
      <c r="L194" s="33"/>
      <c r="M194" s="40"/>
      <c r="N194" s="33"/>
    </row>
    <row r="195" spans="1:14" ht="150" customHeight="1" x14ac:dyDescent="0.25">
      <c r="A195" s="43"/>
      <c r="B195" s="128"/>
      <c r="C195" s="64"/>
      <c r="D195" s="32"/>
      <c r="E195" s="32"/>
      <c r="F195" s="32"/>
      <c r="G195" s="31"/>
      <c r="H195" s="31"/>
      <c r="I195" s="33"/>
      <c r="J195" s="37"/>
      <c r="K195" s="33"/>
      <c r="L195" s="33"/>
      <c r="M195" s="40"/>
      <c r="N195" s="33"/>
    </row>
    <row r="196" spans="1:14" ht="150" customHeight="1" x14ac:dyDescent="0.25">
      <c r="A196" s="43"/>
      <c r="B196" s="128"/>
      <c r="C196" s="64"/>
      <c r="D196" s="32"/>
      <c r="E196" s="32"/>
      <c r="F196" s="32"/>
      <c r="G196" s="31"/>
      <c r="H196" s="31"/>
      <c r="I196" s="33"/>
      <c r="J196" s="37"/>
      <c r="K196" s="33"/>
      <c r="L196" s="33"/>
      <c r="M196" s="40"/>
      <c r="N196" s="33"/>
    </row>
    <row r="197" spans="1:14" ht="150" customHeight="1" x14ac:dyDescent="0.25">
      <c r="A197" s="43"/>
      <c r="B197" s="128"/>
      <c r="C197" s="64"/>
      <c r="D197" s="32"/>
      <c r="E197" s="32"/>
      <c r="F197" s="32"/>
      <c r="G197" s="31"/>
      <c r="H197" s="31"/>
      <c r="I197" s="33"/>
      <c r="J197" s="37"/>
      <c r="K197" s="33"/>
      <c r="L197" s="33"/>
      <c r="M197" s="40"/>
      <c r="N197" s="33"/>
    </row>
    <row r="198" spans="1:14" ht="150" customHeight="1" x14ac:dyDescent="0.25">
      <c r="A198" s="43"/>
      <c r="B198" s="128"/>
      <c r="C198" s="64"/>
      <c r="D198" s="32"/>
      <c r="E198" s="32"/>
      <c r="F198" s="32"/>
      <c r="G198" s="31"/>
      <c r="H198" s="31"/>
      <c r="I198" s="33"/>
      <c r="J198" s="37"/>
      <c r="K198" s="33"/>
      <c r="L198" s="33"/>
      <c r="M198" s="40"/>
      <c r="N198" s="33"/>
    </row>
    <row r="199" spans="1:14" ht="150" customHeight="1" x14ac:dyDescent="0.25">
      <c r="A199" s="44"/>
      <c r="B199" s="129"/>
      <c r="C199" s="65"/>
      <c r="D199" s="34"/>
      <c r="E199" s="34"/>
      <c r="F199" s="34"/>
      <c r="G199" s="34"/>
      <c r="H199" s="34"/>
      <c r="I199" s="34"/>
      <c r="J199" s="38"/>
      <c r="K199" s="34"/>
      <c r="L199" s="34"/>
      <c r="M199" s="41"/>
      <c r="N199" s="34"/>
    </row>
    <row r="200" spans="1:14" ht="150" customHeight="1" x14ac:dyDescent="0.25">
      <c r="A200" s="44"/>
      <c r="B200" s="129"/>
      <c r="C200" s="65"/>
      <c r="D200" s="34"/>
      <c r="E200" s="34"/>
      <c r="F200" s="34"/>
      <c r="G200" s="34"/>
      <c r="H200" s="34"/>
      <c r="I200" s="34"/>
      <c r="J200" s="38"/>
      <c r="K200" s="34"/>
      <c r="L200" s="34"/>
      <c r="M200" s="41"/>
      <c r="N200" s="34"/>
    </row>
  </sheetData>
  <mergeCells count="3">
    <mergeCell ref="A1:L1"/>
    <mergeCell ref="M1:N1"/>
    <mergeCell ref="A2:N2"/>
  </mergeCells>
  <pageMargins left="0.7" right="0.7" top="0.75" bottom="0.75" header="0.3" footer="0.3"/>
  <pageSetup paperSize="3" scale="70" fitToHeight="0" orientation="landscape" r:id="rId1"/>
  <headerFooter>
    <oddFooter>&amp;R&amp;A
&amp;F&amp;C&amp;"Calibri"&amp;11 Sheet &amp;P of &amp;N_x000D_&amp;1#&amp;"Calibri"&amp;10 Schlumberger-Private</oddFooter>
  </headerFooter>
  <webPublishItems count="16">
    <webPublishItem id="12589" divId="EMR_to_SQL (Rev_1)_12589" sourceType="range" sourceRef="A1:N3" destinationFile="C:\Users\96015\Desktop\EMR_Report.html"/>
    <webPublishItem id="24317" divId="HCTC_EMR_DB_(07032018)_24317" sourceType="range" sourceRef="A1:N23" destinationFile="C:\Users\Public\Documents\EMR_Report.html"/>
    <webPublishItem id="2971" divId="HCTC_EMR_DB_(07032018)_2971" sourceType="range" sourceRef="A1:N23" destinationFile="C:\Users\Public\Documents\EMR_Report.html"/>
    <webPublishItem id="14326" divId="HCTC_EMR_DB_(07032018)_14326" sourceType="range" sourceRef="A1:N23" destinationFile="C:\Users\Public\Documents\EMR_Report.html"/>
    <webPublishItem id="7686" divId="HCTC_EMR_DB_(07032018)_7686" sourceType="range" sourceRef="A1:N23" destinationFile="C:\Users\Public\Documents\EMR_Report.html"/>
    <webPublishItem id="4750" divId="HCTC_EMR_DB_(07092018)_4750" sourceType="range" sourceRef="A1:N24" destinationFile="C:\Users\Public\Documents\EMR_Report.html"/>
    <webPublishItem id="2407" divId="HCTC_EMR_DB_(07112018)_2407" sourceType="range" sourceRef="A1:N25" destinationFile="C:\Users\Public\Documents\EMR_Report.html"/>
    <webPublishItem id="10067" divId="HCTC_EMR_DB_(07112018)_10067" sourceType="range" sourceRef="A1:N25" destinationFile="C:\Users\Public\Documents\EMR_Report.html"/>
    <webPublishItem id="8366" divId="HCTC_EMR_DB_(07112018)_8366" sourceType="range" sourceRef="A1:N25" destinationFile="C:\Users\Public\Documents\EMR_Report.html"/>
    <webPublishItem id="22729" divId="EMR_to_SQL (Rev_1)_22729" sourceType="range" sourceRef="A1:N27" destinationFile="C:\Users\96015\Desktop\EMR_Report.html"/>
    <webPublishItem id="76" divId="EMR_to_SQL (Rev_1)_76" sourceType="range" sourceRef="A1:N27" destinationFile="C:\Users\96015\Desktop\EMR_Report.html"/>
    <webPublishItem id="4653" divId="EMR_DB v1.1_4653" sourceType="range" sourceRef="A1:N28" destinationFile="C:\Users\Public\Documents\EMR_Report.html"/>
    <webPublishItem id="32367" divId="EMR_DB v1.1_32367" sourceType="range" sourceRef="A1:N28" destinationFile="C:\Users\Public\Documents\EMR_Report.html"/>
    <webPublishItem id="23817" divId="EMR_DB v1.1_23817" sourceType="range" sourceRef="A1:N28" destinationFile="C:\Users\Public\Documents\EMR_Report.html"/>
    <webPublishItem id="31396" divId="EMR_DB v1.1_31396" sourceType="range" sourceRef="A1:N28" destinationFile="C:\Users\Public\Documents\EMR_Report.html"/>
    <webPublishItem id="25759" divId="HCTC_EMR_DB_(07112018)_25759" sourceType="range" sourceRef="A1:N33" destinationFile="C:\Users\Public\Documents\EMR_Report.html"/>
  </webPublishItem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2">
    <pageSetUpPr fitToPage="1"/>
  </sheetPr>
  <dimension ref="A1:T200"/>
  <sheetViews>
    <sheetView zoomScale="75" zoomScaleNormal="75" workbookViewId="0">
      <selection activeCell="A4" sqref="A4:N200"/>
    </sheetView>
  </sheetViews>
  <sheetFormatPr defaultRowHeight="15" x14ac:dyDescent="0.25"/>
  <cols>
    <col min="1" max="1" width="14.28515625" style="1" customWidth="1"/>
    <col min="2" max="2" width="44.140625" style="48" customWidth="1"/>
    <col min="3" max="3" width="14.85546875" style="1" customWidth="1"/>
    <col min="4" max="4" width="17.28515625" style="48" customWidth="1"/>
    <col min="5" max="5" width="21" style="1" customWidth="1"/>
    <col min="6" max="6" width="21.28515625" style="1" customWidth="1"/>
    <col min="7" max="7" width="20.5703125" style="1" customWidth="1"/>
    <col min="8" max="9" width="20.140625" style="5" customWidth="1"/>
    <col min="10" max="10" width="22.28515625" style="1" customWidth="1"/>
    <col min="11" max="11" width="24.5703125" style="1" customWidth="1"/>
    <col min="12" max="12" width="23.5703125" style="1" customWidth="1"/>
    <col min="13" max="13" width="17.140625" style="52" customWidth="1"/>
    <col min="14" max="14" width="26.5703125" style="1" customWidth="1"/>
    <col min="15" max="16384" width="9.140625" style="3"/>
  </cols>
  <sheetData>
    <row r="1" spans="1:20" ht="46.5" x14ac:dyDescent="0.25">
      <c r="A1" s="177" t="s">
        <v>113</v>
      </c>
      <c r="B1" s="177"/>
      <c r="C1" s="177"/>
      <c r="D1" s="177"/>
      <c r="E1" s="177"/>
      <c r="F1" s="177"/>
      <c r="G1" s="177"/>
      <c r="H1" s="177"/>
      <c r="I1" s="177"/>
      <c r="J1" s="177"/>
      <c r="K1" s="177"/>
      <c r="L1" s="177"/>
      <c r="M1" s="178">
        <v>43469</v>
      </c>
      <c r="N1" s="178"/>
    </row>
    <row r="2" spans="1:20" ht="26.25" x14ac:dyDescent="0.25">
      <c r="A2" s="179" t="s">
        <v>1853</v>
      </c>
      <c r="B2" s="179"/>
      <c r="C2" s="179"/>
      <c r="D2" s="179"/>
      <c r="E2" s="179"/>
      <c r="F2" s="179"/>
      <c r="G2" s="179"/>
      <c r="H2" s="179"/>
      <c r="I2" s="179"/>
      <c r="J2" s="179"/>
      <c r="K2" s="179"/>
      <c r="L2" s="179"/>
      <c r="M2" s="179"/>
      <c r="N2" s="179"/>
    </row>
    <row r="3" spans="1:20" s="70" customFormat="1" ht="37.5" x14ac:dyDescent="0.3">
      <c r="A3" s="69" t="s">
        <v>881</v>
      </c>
      <c r="B3" s="69" t="s">
        <v>883</v>
      </c>
      <c r="C3" s="69" t="s">
        <v>11</v>
      </c>
      <c r="D3" s="69" t="s">
        <v>882</v>
      </c>
      <c r="E3" s="69" t="s">
        <v>885</v>
      </c>
      <c r="F3" s="69" t="s">
        <v>886</v>
      </c>
      <c r="G3" s="69" t="s">
        <v>887</v>
      </c>
      <c r="H3" s="69" t="s">
        <v>154</v>
      </c>
      <c r="I3" s="69" t="s">
        <v>889</v>
      </c>
      <c r="J3" s="69" t="s">
        <v>463</v>
      </c>
      <c r="K3" s="69" t="s">
        <v>893</v>
      </c>
      <c r="L3" s="69" t="s">
        <v>894</v>
      </c>
      <c r="M3" s="69" t="s">
        <v>895</v>
      </c>
      <c r="N3" s="69" t="s">
        <v>277</v>
      </c>
    </row>
    <row r="4" spans="1:20" ht="150" customHeight="1" x14ac:dyDescent="0.25">
      <c r="A4" s="49" t="s">
        <v>1043</v>
      </c>
      <c r="B4" s="68" t="s">
        <v>1044</v>
      </c>
      <c r="C4" s="49" t="s">
        <v>19</v>
      </c>
      <c r="D4" s="71" t="s">
        <v>16</v>
      </c>
      <c r="E4" s="47">
        <v>43292</v>
      </c>
      <c r="F4" s="47">
        <v>43320</v>
      </c>
      <c r="G4" s="138">
        <v>28</v>
      </c>
      <c r="H4" s="71" t="s">
        <v>169</v>
      </c>
      <c r="I4" s="62" t="s">
        <v>113</v>
      </c>
      <c r="J4" s="62" t="s">
        <v>464</v>
      </c>
      <c r="K4" s="62" t="s">
        <v>1022</v>
      </c>
      <c r="L4" s="49" t="s">
        <v>1012</v>
      </c>
      <c r="M4" s="72" t="s">
        <v>991</v>
      </c>
      <c r="N4" s="50" t="s">
        <v>79</v>
      </c>
      <c r="T4" s="60"/>
    </row>
    <row r="5" spans="1:20" ht="150" customHeight="1" x14ac:dyDescent="0.25">
      <c r="A5" s="49" t="s">
        <v>1088</v>
      </c>
      <c r="B5" s="68" t="s">
        <v>1089</v>
      </c>
      <c r="C5" s="49" t="s">
        <v>19</v>
      </c>
      <c r="D5" s="71" t="s">
        <v>16</v>
      </c>
      <c r="E5" s="47">
        <v>43313</v>
      </c>
      <c r="F5" s="47">
        <v>43313</v>
      </c>
      <c r="G5" s="49">
        <v>0</v>
      </c>
      <c r="H5" s="62" t="s">
        <v>169</v>
      </c>
      <c r="I5" s="62" t="s">
        <v>113</v>
      </c>
      <c r="J5" s="62" t="s">
        <v>464</v>
      </c>
      <c r="K5" s="62" t="s">
        <v>1022</v>
      </c>
      <c r="L5" s="49" t="s">
        <v>1012</v>
      </c>
      <c r="M5" s="72" t="s">
        <v>991</v>
      </c>
      <c r="N5" s="50" t="s">
        <v>1090</v>
      </c>
    </row>
    <row r="6" spans="1:20" ht="150" customHeight="1" x14ac:dyDescent="0.25">
      <c r="A6" s="49" t="s">
        <v>1129</v>
      </c>
      <c r="B6" s="68" t="s">
        <v>1130</v>
      </c>
      <c r="C6" s="49" t="s">
        <v>19</v>
      </c>
      <c r="D6" s="71" t="s">
        <v>1131</v>
      </c>
      <c r="E6" s="47">
        <v>43321</v>
      </c>
      <c r="F6" s="47">
        <v>43341</v>
      </c>
      <c r="G6" s="49">
        <v>20</v>
      </c>
      <c r="H6" s="62" t="s">
        <v>176</v>
      </c>
      <c r="I6" s="62" t="s">
        <v>113</v>
      </c>
      <c r="J6" s="62" t="s">
        <v>464</v>
      </c>
      <c r="K6" s="62" t="s">
        <v>1022</v>
      </c>
      <c r="L6" s="49" t="s">
        <v>1012</v>
      </c>
      <c r="M6" s="72" t="s">
        <v>991</v>
      </c>
      <c r="N6" s="50" t="s">
        <v>79</v>
      </c>
    </row>
    <row r="7" spans="1:20" ht="150" customHeight="1" x14ac:dyDescent="0.25">
      <c r="A7" s="49" t="s">
        <v>1206</v>
      </c>
      <c r="B7" s="68" t="s">
        <v>1207</v>
      </c>
      <c r="C7" s="49" t="s">
        <v>19</v>
      </c>
      <c r="D7" s="71" t="s">
        <v>16</v>
      </c>
      <c r="E7" s="47">
        <v>43342</v>
      </c>
      <c r="F7" s="47">
        <v>43343</v>
      </c>
      <c r="G7" s="49">
        <v>1</v>
      </c>
      <c r="H7" s="62" t="s">
        <v>176</v>
      </c>
      <c r="I7" s="62" t="s">
        <v>113</v>
      </c>
      <c r="J7" s="62" t="s">
        <v>464</v>
      </c>
      <c r="K7" s="62" t="s">
        <v>1022</v>
      </c>
      <c r="L7" s="49" t="s">
        <v>1012</v>
      </c>
      <c r="M7" s="72" t="s">
        <v>991</v>
      </c>
      <c r="N7" s="50" t="s">
        <v>79</v>
      </c>
    </row>
    <row r="8" spans="1:20" ht="150" customHeight="1" x14ac:dyDescent="0.25">
      <c r="A8" s="49" t="s">
        <v>1211</v>
      </c>
      <c r="B8" s="68" t="s">
        <v>1212</v>
      </c>
      <c r="C8" s="49" t="s">
        <v>19</v>
      </c>
      <c r="D8" s="71" t="s">
        <v>1131</v>
      </c>
      <c r="E8" s="47">
        <v>43347</v>
      </c>
      <c r="F8" s="47">
        <v>43383</v>
      </c>
      <c r="G8" s="49">
        <v>36</v>
      </c>
      <c r="H8" s="62" t="s">
        <v>176</v>
      </c>
      <c r="I8" s="62" t="s">
        <v>113</v>
      </c>
      <c r="J8" s="62" t="s">
        <v>464</v>
      </c>
      <c r="K8" s="62" t="s">
        <v>1022</v>
      </c>
      <c r="L8" s="49" t="s">
        <v>1013</v>
      </c>
      <c r="M8" s="72" t="s">
        <v>991</v>
      </c>
      <c r="N8" s="50" t="s">
        <v>79</v>
      </c>
    </row>
    <row r="9" spans="1:20" ht="150" customHeight="1" x14ac:dyDescent="0.25">
      <c r="A9" s="49" t="s">
        <v>1709</v>
      </c>
      <c r="B9" s="68" t="s">
        <v>1710</v>
      </c>
      <c r="C9" s="49" t="s">
        <v>19</v>
      </c>
      <c r="D9" s="71" t="s">
        <v>16</v>
      </c>
      <c r="E9" s="47">
        <v>43383</v>
      </c>
      <c r="F9" s="47">
        <v>43388</v>
      </c>
      <c r="G9" s="49">
        <v>5</v>
      </c>
      <c r="H9" s="62" t="s">
        <v>554</v>
      </c>
      <c r="I9" s="62" t="s">
        <v>113</v>
      </c>
      <c r="J9" s="62" t="s">
        <v>464</v>
      </c>
      <c r="K9" s="62" t="s">
        <v>1022</v>
      </c>
      <c r="L9" s="49" t="s">
        <v>1012</v>
      </c>
      <c r="M9" s="72" t="s">
        <v>1000</v>
      </c>
      <c r="N9" s="50" t="s">
        <v>79</v>
      </c>
    </row>
    <row r="10" spans="1:20" ht="150" customHeight="1" x14ac:dyDescent="0.25">
      <c r="A10" s="49"/>
      <c r="B10" s="68"/>
      <c r="C10" s="49"/>
      <c r="D10" s="71"/>
      <c r="E10" s="47"/>
      <c r="F10" s="47"/>
      <c r="G10" s="49"/>
      <c r="H10" s="62"/>
      <c r="I10" s="62"/>
      <c r="J10" s="62"/>
      <c r="K10" s="62"/>
      <c r="L10" s="49"/>
      <c r="M10" s="72"/>
      <c r="N10" s="50"/>
    </row>
    <row r="11" spans="1:20" ht="150" customHeight="1" x14ac:dyDescent="0.25">
      <c r="A11" s="49"/>
      <c r="B11" s="68"/>
      <c r="C11" s="49"/>
      <c r="D11" s="71"/>
      <c r="E11" s="47"/>
      <c r="F11" s="47"/>
      <c r="G11" s="49"/>
      <c r="H11" s="62"/>
      <c r="I11" s="62"/>
      <c r="J11" s="62"/>
      <c r="K11" s="62"/>
      <c r="L11" s="49"/>
      <c r="M11" s="72"/>
      <c r="N11" s="50"/>
    </row>
    <row r="12" spans="1:20" ht="150" customHeight="1" x14ac:dyDescent="0.25">
      <c r="A12" s="49"/>
      <c r="B12" s="68"/>
      <c r="C12" s="49"/>
      <c r="D12" s="71"/>
      <c r="E12" s="47"/>
      <c r="F12" s="47"/>
      <c r="G12" s="49"/>
      <c r="H12" s="62"/>
      <c r="I12" s="62"/>
      <c r="J12" s="62"/>
      <c r="K12" s="62"/>
      <c r="L12" s="49"/>
      <c r="M12" s="72"/>
      <c r="N12" s="50"/>
    </row>
    <row r="13" spans="1:20" ht="150" customHeight="1" x14ac:dyDescent="0.25">
      <c r="A13" s="49"/>
      <c r="B13" s="68"/>
      <c r="C13" s="49"/>
      <c r="D13" s="71"/>
      <c r="E13" s="47"/>
      <c r="F13" s="47"/>
      <c r="G13" s="49"/>
      <c r="H13" s="62"/>
      <c r="I13" s="62"/>
      <c r="J13" s="62"/>
      <c r="K13" s="62"/>
      <c r="L13" s="49"/>
      <c r="M13" s="72"/>
      <c r="N13" s="50"/>
    </row>
    <row r="14" spans="1:20" ht="150" customHeight="1" x14ac:dyDescent="0.25">
      <c r="A14" s="49"/>
      <c r="B14" s="68"/>
      <c r="C14" s="49"/>
      <c r="D14" s="71"/>
      <c r="E14" s="47"/>
      <c r="F14" s="47"/>
      <c r="G14" s="49"/>
      <c r="H14" s="62"/>
      <c r="I14" s="62"/>
      <c r="J14" s="62"/>
      <c r="K14" s="62"/>
      <c r="L14" s="49"/>
      <c r="M14" s="72"/>
      <c r="N14" s="50"/>
    </row>
    <row r="15" spans="1:20" ht="150" customHeight="1" x14ac:dyDescent="0.25">
      <c r="A15" s="49"/>
      <c r="B15" s="68"/>
      <c r="C15" s="49"/>
      <c r="D15" s="71"/>
      <c r="E15" s="47"/>
      <c r="F15" s="47"/>
      <c r="G15" s="49"/>
      <c r="H15" s="62"/>
      <c r="I15" s="62"/>
      <c r="J15" s="62"/>
      <c r="K15" s="62"/>
      <c r="L15" s="49"/>
      <c r="M15" s="72"/>
      <c r="N15" s="50"/>
    </row>
    <row r="16" spans="1:20" ht="150" customHeight="1" x14ac:dyDescent="0.25">
      <c r="A16" s="49"/>
      <c r="B16" s="68"/>
      <c r="C16" s="49"/>
      <c r="D16" s="71"/>
      <c r="E16" s="47"/>
      <c r="F16" s="47"/>
      <c r="G16" s="49"/>
      <c r="H16" s="62"/>
      <c r="I16" s="62"/>
      <c r="J16" s="62"/>
      <c r="K16" s="62"/>
      <c r="L16" s="49"/>
      <c r="M16" s="72"/>
      <c r="N16" s="50"/>
    </row>
    <row r="17" spans="1:14" ht="150" customHeight="1" x14ac:dyDescent="0.25">
      <c r="A17" s="49"/>
      <c r="B17" s="68"/>
      <c r="C17" s="49"/>
      <c r="D17" s="71"/>
      <c r="E17" s="47"/>
      <c r="F17" s="47"/>
      <c r="G17" s="49"/>
      <c r="H17" s="62"/>
      <c r="I17" s="62"/>
      <c r="J17" s="62"/>
      <c r="K17" s="62"/>
      <c r="L17" s="49"/>
      <c r="M17" s="72"/>
      <c r="N17" s="50"/>
    </row>
    <row r="18" spans="1:14" ht="150" customHeight="1" x14ac:dyDescent="0.25">
      <c r="A18" s="49"/>
      <c r="B18" s="68"/>
      <c r="C18" s="49"/>
      <c r="D18" s="71"/>
      <c r="E18" s="47"/>
      <c r="F18" s="47"/>
      <c r="G18" s="49"/>
      <c r="H18" s="62"/>
      <c r="I18" s="62"/>
      <c r="J18" s="62"/>
      <c r="K18" s="62"/>
      <c r="L18" s="49"/>
      <c r="M18" s="72"/>
      <c r="N18" s="50"/>
    </row>
    <row r="19" spans="1:14" ht="150" customHeight="1" x14ac:dyDescent="0.25">
      <c r="A19" s="49"/>
      <c r="B19" s="68"/>
      <c r="C19" s="49"/>
      <c r="D19" s="71"/>
      <c r="E19" s="47"/>
      <c r="F19" s="47"/>
      <c r="G19" s="49"/>
      <c r="H19" s="62"/>
      <c r="I19" s="62"/>
      <c r="J19" s="62"/>
      <c r="K19" s="62"/>
      <c r="L19" s="49"/>
      <c r="M19" s="72"/>
      <c r="N19" s="50"/>
    </row>
    <row r="20" spans="1:14" ht="150" customHeight="1" x14ac:dyDescent="0.25">
      <c r="A20" s="49"/>
      <c r="B20" s="68"/>
      <c r="C20" s="49"/>
      <c r="D20" s="71"/>
      <c r="E20" s="47"/>
      <c r="F20" s="47"/>
      <c r="G20" s="49"/>
      <c r="H20" s="62"/>
      <c r="I20" s="62"/>
      <c r="J20" s="62"/>
      <c r="K20" s="62"/>
      <c r="L20" s="49"/>
      <c r="M20" s="72"/>
      <c r="N20" s="50"/>
    </row>
    <row r="21" spans="1:14" ht="150" customHeight="1" x14ac:dyDescent="0.25">
      <c r="A21" s="49"/>
      <c r="B21" s="68"/>
      <c r="C21" s="49"/>
      <c r="D21" s="71"/>
      <c r="E21" s="47"/>
      <c r="F21" s="47"/>
      <c r="G21" s="49"/>
      <c r="H21" s="62"/>
      <c r="I21" s="62"/>
      <c r="J21" s="62"/>
      <c r="K21" s="62"/>
      <c r="L21" s="49"/>
      <c r="M21" s="72"/>
      <c r="N21" s="50"/>
    </row>
    <row r="22" spans="1:14" ht="150" customHeight="1" x14ac:dyDescent="0.25">
      <c r="A22" s="49"/>
      <c r="B22" s="68"/>
      <c r="C22" s="49"/>
      <c r="D22" s="71"/>
      <c r="E22" s="47"/>
      <c r="F22" s="47"/>
      <c r="G22" s="49"/>
      <c r="H22" s="62"/>
      <c r="I22" s="62"/>
      <c r="J22" s="62"/>
      <c r="K22" s="62"/>
      <c r="L22" s="49"/>
      <c r="M22" s="72"/>
      <c r="N22" s="50"/>
    </row>
    <row r="23" spans="1:14" ht="150" customHeight="1" x14ac:dyDescent="0.25">
      <c r="A23" s="49"/>
      <c r="B23" s="68"/>
      <c r="C23" s="49"/>
      <c r="D23" s="71"/>
      <c r="E23" s="47"/>
      <c r="F23" s="47"/>
      <c r="G23" s="49"/>
      <c r="H23" s="62"/>
      <c r="I23" s="62"/>
      <c r="J23" s="62"/>
      <c r="K23" s="62"/>
      <c r="L23" s="49"/>
      <c r="M23" s="72"/>
      <c r="N23" s="50"/>
    </row>
    <row r="24" spans="1:14" ht="150" customHeight="1" x14ac:dyDescent="0.25">
      <c r="A24" s="49"/>
      <c r="B24" s="68"/>
      <c r="C24" s="49"/>
      <c r="D24" s="71"/>
      <c r="E24" s="47"/>
      <c r="F24" s="47"/>
      <c r="G24" s="49"/>
      <c r="H24" s="62"/>
      <c r="I24" s="62"/>
      <c r="J24" s="62"/>
      <c r="K24" s="62"/>
      <c r="L24" s="49"/>
      <c r="M24" s="72"/>
      <c r="N24" s="50"/>
    </row>
    <row r="25" spans="1:14" ht="150" customHeight="1" x14ac:dyDescent="0.25">
      <c r="A25" s="49"/>
      <c r="B25" s="68"/>
      <c r="C25" s="49"/>
      <c r="D25" s="71"/>
      <c r="E25" s="47"/>
      <c r="F25" s="47"/>
      <c r="G25" s="49"/>
      <c r="H25" s="62"/>
      <c r="I25" s="62"/>
      <c r="J25" s="62"/>
      <c r="K25" s="62"/>
      <c r="L25" s="49"/>
      <c r="M25" s="72"/>
      <c r="N25" s="50"/>
    </row>
    <row r="26" spans="1:14" ht="150" customHeight="1" x14ac:dyDescent="0.25">
      <c r="A26" s="49"/>
      <c r="B26" s="68"/>
      <c r="C26" s="49"/>
      <c r="D26" s="71"/>
      <c r="E26" s="47"/>
      <c r="F26" s="47"/>
      <c r="G26" s="49"/>
      <c r="H26" s="62"/>
      <c r="I26" s="62"/>
      <c r="J26" s="62"/>
      <c r="K26" s="62"/>
      <c r="L26" s="49"/>
      <c r="M26" s="72"/>
      <c r="N26" s="50"/>
    </row>
    <row r="27" spans="1:14" ht="150" customHeight="1" x14ac:dyDescent="0.25">
      <c r="A27" s="49"/>
      <c r="B27" s="68"/>
      <c r="C27" s="49"/>
      <c r="D27" s="71"/>
      <c r="E27" s="47"/>
      <c r="F27" s="47"/>
      <c r="G27" s="49"/>
      <c r="H27" s="62"/>
      <c r="I27" s="62"/>
      <c r="J27" s="62"/>
      <c r="K27" s="62"/>
      <c r="L27" s="49"/>
      <c r="M27" s="72"/>
      <c r="N27" s="50"/>
    </row>
    <row r="28" spans="1:14" ht="150" customHeight="1" x14ac:dyDescent="0.25">
      <c r="A28" s="49"/>
      <c r="B28" s="68"/>
      <c r="C28" s="49"/>
      <c r="D28" s="71"/>
      <c r="E28" s="47"/>
      <c r="F28" s="47"/>
      <c r="G28" s="49"/>
      <c r="H28" s="62"/>
      <c r="I28" s="62"/>
      <c r="J28" s="62"/>
      <c r="K28" s="62"/>
      <c r="L28" s="49"/>
      <c r="M28" s="72"/>
      <c r="N28" s="50"/>
    </row>
    <row r="29" spans="1:14" ht="150" customHeight="1" x14ac:dyDescent="0.25">
      <c r="A29" s="49"/>
      <c r="B29" s="68"/>
      <c r="C29" s="49"/>
      <c r="D29" s="71"/>
      <c r="E29" s="47"/>
      <c r="F29" s="47"/>
      <c r="G29" s="49"/>
      <c r="H29" s="62"/>
      <c r="I29" s="62"/>
      <c r="J29" s="62"/>
      <c r="K29" s="62"/>
      <c r="L29" s="49"/>
      <c r="M29" s="72"/>
      <c r="N29" s="50"/>
    </row>
    <row r="30" spans="1:14" ht="150" customHeight="1" x14ac:dyDescent="0.25">
      <c r="A30" s="49"/>
      <c r="B30" s="68"/>
      <c r="C30" s="49"/>
      <c r="D30" s="71"/>
      <c r="E30" s="47"/>
      <c r="F30" s="47"/>
      <c r="G30" s="49"/>
      <c r="H30" s="62"/>
      <c r="I30" s="62"/>
      <c r="J30" s="62"/>
      <c r="K30" s="62"/>
      <c r="L30" s="49"/>
      <c r="M30" s="72"/>
      <c r="N30" s="50"/>
    </row>
    <row r="31" spans="1:14" ht="150" customHeight="1" x14ac:dyDescent="0.25">
      <c r="A31" s="49"/>
      <c r="B31" s="68"/>
      <c r="C31" s="49"/>
      <c r="D31" s="71"/>
      <c r="E31" s="47"/>
      <c r="F31" s="47"/>
      <c r="G31" s="49"/>
      <c r="H31" s="62"/>
      <c r="I31" s="62"/>
      <c r="J31" s="62"/>
      <c r="K31" s="62"/>
      <c r="L31" s="49"/>
      <c r="M31" s="72"/>
      <c r="N31" s="50"/>
    </row>
    <row r="32" spans="1:14" ht="150" customHeight="1" x14ac:dyDescent="0.25">
      <c r="A32" s="49"/>
      <c r="B32" s="68"/>
      <c r="C32" s="49"/>
      <c r="D32" s="71"/>
      <c r="E32" s="47"/>
      <c r="F32" s="47"/>
      <c r="G32" s="49"/>
      <c r="H32" s="62"/>
      <c r="I32" s="62"/>
      <c r="J32" s="62"/>
      <c r="K32" s="62"/>
      <c r="L32" s="49"/>
      <c r="M32" s="72"/>
      <c r="N32" s="50"/>
    </row>
    <row r="33" spans="1:14" ht="150" customHeight="1" x14ac:dyDescent="0.25">
      <c r="A33" s="49"/>
      <c r="B33" s="68"/>
      <c r="C33" s="49"/>
      <c r="D33" s="71"/>
      <c r="E33" s="47"/>
      <c r="F33" s="47"/>
      <c r="G33" s="49"/>
      <c r="H33" s="62"/>
      <c r="I33" s="62"/>
      <c r="J33" s="62"/>
      <c r="K33" s="62"/>
      <c r="L33" s="49"/>
      <c r="M33" s="72"/>
      <c r="N33" s="50"/>
    </row>
    <row r="34" spans="1:14" ht="150" customHeight="1" x14ac:dyDescent="0.25">
      <c r="A34" s="49"/>
      <c r="B34" s="68"/>
      <c r="C34" s="49"/>
      <c r="D34" s="71"/>
      <c r="E34" s="47"/>
      <c r="F34" s="47"/>
      <c r="G34" s="49"/>
      <c r="H34" s="62"/>
      <c r="I34" s="62"/>
      <c r="J34" s="62"/>
      <c r="K34" s="62"/>
      <c r="L34" s="49"/>
      <c r="M34" s="72"/>
      <c r="N34" s="50"/>
    </row>
    <row r="35" spans="1:14" ht="150" customHeight="1" x14ac:dyDescent="0.25">
      <c r="A35" s="49"/>
      <c r="B35" s="68"/>
      <c r="C35" s="49"/>
      <c r="D35" s="71"/>
      <c r="E35" s="47"/>
      <c r="F35" s="47"/>
      <c r="G35" s="49"/>
      <c r="H35" s="62"/>
      <c r="I35" s="62"/>
      <c r="J35" s="62"/>
      <c r="K35" s="62"/>
      <c r="L35" s="49"/>
      <c r="M35" s="72"/>
      <c r="N35" s="50"/>
    </row>
    <row r="36" spans="1:14" ht="150" customHeight="1" x14ac:dyDescent="0.25">
      <c r="A36" s="49"/>
      <c r="B36" s="68"/>
      <c r="C36" s="49"/>
      <c r="D36" s="71"/>
      <c r="E36" s="47"/>
      <c r="F36" s="47"/>
      <c r="G36" s="49"/>
      <c r="H36" s="62"/>
      <c r="I36" s="62"/>
      <c r="J36" s="62"/>
      <c r="K36" s="62"/>
      <c r="L36" s="49"/>
      <c r="M36" s="72"/>
      <c r="N36" s="50"/>
    </row>
    <row r="37" spans="1:14" ht="150" customHeight="1" x14ac:dyDescent="0.25">
      <c r="A37" s="49"/>
      <c r="B37" s="68"/>
      <c r="C37" s="49"/>
      <c r="D37" s="71"/>
      <c r="E37" s="47"/>
      <c r="F37" s="47"/>
      <c r="G37" s="49"/>
      <c r="H37" s="62"/>
      <c r="I37" s="62"/>
      <c r="J37" s="62"/>
      <c r="K37" s="62"/>
      <c r="L37" s="49"/>
      <c r="M37" s="72"/>
      <c r="N37" s="50"/>
    </row>
    <row r="38" spans="1:14" ht="150" customHeight="1" x14ac:dyDescent="0.25">
      <c r="A38" s="49"/>
      <c r="B38" s="68"/>
      <c r="C38" s="49"/>
      <c r="D38" s="71"/>
      <c r="E38" s="47"/>
      <c r="F38" s="47"/>
      <c r="G38" s="49"/>
      <c r="H38" s="62"/>
      <c r="I38" s="62"/>
      <c r="J38" s="62"/>
      <c r="K38" s="62"/>
      <c r="L38" s="49"/>
      <c r="M38" s="72"/>
      <c r="N38" s="50"/>
    </row>
    <row r="39" spans="1:14" ht="150" customHeight="1" x14ac:dyDescent="0.25">
      <c r="A39" s="49"/>
      <c r="B39" s="68"/>
      <c r="C39" s="49"/>
      <c r="D39" s="71"/>
      <c r="E39" s="47"/>
      <c r="F39" s="47"/>
      <c r="G39" s="49"/>
      <c r="H39" s="62"/>
      <c r="I39" s="62"/>
      <c r="J39" s="62"/>
      <c r="K39" s="62"/>
      <c r="L39" s="49"/>
      <c r="M39" s="72"/>
      <c r="N39" s="50"/>
    </row>
    <row r="40" spans="1:14" ht="150" customHeight="1" x14ac:dyDescent="0.25">
      <c r="A40" s="49"/>
      <c r="B40" s="68"/>
      <c r="C40" s="49"/>
      <c r="D40" s="71"/>
      <c r="E40" s="47"/>
      <c r="F40" s="47"/>
      <c r="G40" s="49"/>
      <c r="H40" s="62"/>
      <c r="I40" s="62"/>
      <c r="J40" s="62"/>
      <c r="K40" s="62"/>
      <c r="L40" s="49"/>
      <c r="M40" s="72"/>
      <c r="N40" s="50"/>
    </row>
    <row r="41" spans="1:14" ht="150" customHeight="1" x14ac:dyDescent="0.25">
      <c r="A41" s="49"/>
      <c r="B41" s="68"/>
      <c r="C41" s="49"/>
      <c r="D41" s="71"/>
      <c r="E41" s="47"/>
      <c r="F41" s="47"/>
      <c r="G41" s="49"/>
      <c r="H41" s="62"/>
      <c r="I41" s="62"/>
      <c r="J41" s="62"/>
      <c r="K41" s="62"/>
      <c r="L41" s="49"/>
      <c r="M41" s="72"/>
      <c r="N41" s="50"/>
    </row>
    <row r="42" spans="1:14" ht="150" customHeight="1" x14ac:dyDescent="0.25">
      <c r="A42" s="49"/>
      <c r="B42" s="68"/>
      <c r="C42" s="49"/>
      <c r="D42" s="71"/>
      <c r="E42" s="47"/>
      <c r="F42" s="47"/>
      <c r="G42" s="49"/>
      <c r="H42" s="62"/>
      <c r="I42" s="62"/>
      <c r="J42" s="62"/>
      <c r="K42" s="62"/>
      <c r="L42" s="49"/>
      <c r="M42" s="72"/>
      <c r="N42" s="50"/>
    </row>
    <row r="43" spans="1:14" ht="150" customHeight="1" x14ac:dyDescent="0.25">
      <c r="A43" s="49"/>
      <c r="B43" s="68"/>
      <c r="C43" s="49"/>
      <c r="D43" s="71"/>
      <c r="E43" s="47"/>
      <c r="F43" s="47"/>
      <c r="G43" s="49"/>
      <c r="H43" s="62"/>
      <c r="I43" s="62"/>
      <c r="J43" s="62"/>
      <c r="K43" s="49"/>
      <c r="L43" s="49"/>
      <c r="M43" s="72"/>
      <c r="N43" s="50"/>
    </row>
    <row r="44" spans="1:14" ht="150" customHeight="1" x14ac:dyDescent="0.25">
      <c r="A44" s="49"/>
      <c r="B44" s="68"/>
      <c r="C44" s="49"/>
      <c r="D44" s="71"/>
      <c r="E44" s="47"/>
      <c r="F44" s="47"/>
      <c r="G44" s="49"/>
      <c r="H44" s="62"/>
      <c r="I44" s="62"/>
      <c r="J44" s="62"/>
      <c r="K44" s="49"/>
      <c r="L44" s="49"/>
      <c r="M44" s="72"/>
      <c r="N44" s="50"/>
    </row>
    <row r="45" spans="1:14" ht="150" customHeight="1" x14ac:dyDescent="0.25">
      <c r="A45" s="49"/>
      <c r="B45" s="68"/>
      <c r="C45" s="49"/>
      <c r="D45" s="71"/>
      <c r="E45" s="47"/>
      <c r="F45" s="47"/>
      <c r="G45" s="49"/>
      <c r="H45" s="62"/>
      <c r="I45" s="62"/>
      <c r="J45" s="62"/>
      <c r="K45" s="49"/>
      <c r="L45" s="49"/>
      <c r="M45" s="72"/>
      <c r="N45" s="50"/>
    </row>
    <row r="46" spans="1:14" ht="150" customHeight="1" x14ac:dyDescent="0.25">
      <c r="A46" s="49"/>
      <c r="B46" s="68"/>
      <c r="C46" s="49"/>
      <c r="D46" s="71"/>
      <c r="E46" s="47"/>
      <c r="F46" s="47"/>
      <c r="G46" s="49"/>
      <c r="H46" s="62"/>
      <c r="I46" s="62"/>
      <c r="J46" s="62"/>
      <c r="K46" s="49"/>
      <c r="L46" s="49"/>
      <c r="M46" s="72"/>
      <c r="N46" s="50"/>
    </row>
    <row r="47" spans="1:14" ht="150" customHeight="1" x14ac:dyDescent="0.25">
      <c r="A47" s="49"/>
      <c r="B47" s="68"/>
      <c r="C47" s="49"/>
      <c r="D47" s="71"/>
      <c r="E47" s="47"/>
      <c r="F47" s="47"/>
      <c r="G47" s="49"/>
      <c r="H47" s="62"/>
      <c r="I47" s="62"/>
      <c r="J47" s="62"/>
      <c r="K47" s="49"/>
      <c r="L47" s="49"/>
      <c r="M47" s="72"/>
      <c r="N47" s="50"/>
    </row>
    <row r="48" spans="1:14" ht="150" customHeight="1" x14ac:dyDescent="0.25">
      <c r="A48" s="49"/>
      <c r="B48" s="68"/>
      <c r="C48" s="49"/>
      <c r="D48" s="71"/>
      <c r="E48" s="47"/>
      <c r="F48" s="47"/>
      <c r="G48" s="49"/>
      <c r="H48" s="62"/>
      <c r="I48" s="62"/>
      <c r="J48" s="62"/>
      <c r="K48" s="49"/>
      <c r="L48" s="49"/>
      <c r="M48" s="72"/>
      <c r="N48" s="50"/>
    </row>
    <row r="49" spans="1:14" ht="150" customHeight="1" x14ac:dyDescent="0.25">
      <c r="A49" s="49"/>
      <c r="B49" s="68"/>
      <c r="C49" s="49"/>
      <c r="D49" s="71"/>
      <c r="E49" s="47"/>
      <c r="F49" s="47"/>
      <c r="G49" s="49"/>
      <c r="H49" s="62"/>
      <c r="I49" s="62"/>
      <c r="J49" s="62"/>
      <c r="K49" s="49"/>
      <c r="L49" s="49"/>
      <c r="M49" s="72"/>
      <c r="N49" s="50"/>
    </row>
    <row r="50" spans="1:14" ht="150" customHeight="1" x14ac:dyDescent="0.25">
      <c r="A50" s="49"/>
      <c r="B50" s="68"/>
      <c r="C50" s="49"/>
      <c r="D50" s="71"/>
      <c r="E50" s="47"/>
      <c r="F50" s="47"/>
      <c r="G50" s="49"/>
      <c r="H50" s="62"/>
      <c r="I50" s="62"/>
      <c r="J50" s="62"/>
      <c r="K50" s="49"/>
      <c r="L50" s="49"/>
      <c r="M50" s="72"/>
      <c r="N50" s="50"/>
    </row>
    <row r="51" spans="1:14" ht="150" customHeight="1" x14ac:dyDescent="0.25">
      <c r="A51" s="49"/>
      <c r="B51" s="68"/>
      <c r="C51" s="49"/>
      <c r="D51" s="71"/>
      <c r="E51" s="47"/>
      <c r="F51" s="47"/>
      <c r="G51" s="49"/>
      <c r="H51" s="62"/>
      <c r="I51" s="62"/>
      <c r="J51" s="62"/>
      <c r="K51" s="49"/>
      <c r="L51" s="49"/>
      <c r="M51" s="72"/>
      <c r="N51" s="50"/>
    </row>
    <row r="52" spans="1:14" ht="150" customHeight="1" x14ac:dyDescent="0.25">
      <c r="A52" s="49"/>
      <c r="B52" s="68"/>
      <c r="C52" s="49"/>
      <c r="D52" s="71"/>
      <c r="E52" s="47"/>
      <c r="F52" s="47"/>
      <c r="G52" s="49"/>
      <c r="H52" s="62"/>
      <c r="I52" s="62"/>
      <c r="J52" s="62"/>
      <c r="K52" s="49"/>
      <c r="L52" s="49"/>
      <c r="M52" s="72"/>
      <c r="N52" s="50"/>
    </row>
    <row r="53" spans="1:14" ht="150" customHeight="1" x14ac:dyDescent="0.25">
      <c r="A53" s="49"/>
      <c r="B53" s="68"/>
      <c r="C53" s="49"/>
      <c r="D53" s="71"/>
      <c r="E53" s="47"/>
      <c r="F53" s="47"/>
      <c r="G53" s="49"/>
      <c r="H53" s="62"/>
      <c r="I53" s="50"/>
      <c r="J53" s="62"/>
      <c r="K53" s="49"/>
      <c r="L53" s="49"/>
      <c r="M53" s="72"/>
      <c r="N53" s="50"/>
    </row>
    <row r="54" spans="1:14" ht="150" customHeight="1" x14ac:dyDescent="0.25">
      <c r="A54" s="49"/>
      <c r="B54" s="68"/>
      <c r="C54" s="49"/>
      <c r="D54" s="71"/>
      <c r="E54" s="47"/>
      <c r="F54" s="47"/>
      <c r="G54" s="49"/>
      <c r="H54" s="62"/>
      <c r="I54" s="50"/>
      <c r="J54" s="62"/>
      <c r="K54" s="49"/>
      <c r="L54" s="49"/>
      <c r="M54" s="72"/>
      <c r="N54" s="50"/>
    </row>
    <row r="55" spans="1:14" ht="150" customHeight="1" x14ac:dyDescent="0.25">
      <c r="A55" s="49"/>
      <c r="B55" s="68"/>
      <c r="C55" s="49"/>
      <c r="D55" s="71"/>
      <c r="E55" s="47"/>
      <c r="F55" s="47"/>
      <c r="G55" s="49"/>
      <c r="H55" s="62"/>
      <c r="I55" s="50"/>
      <c r="J55" s="62"/>
      <c r="K55" s="49"/>
      <c r="L55" s="49"/>
      <c r="M55" s="51"/>
      <c r="N55" s="50"/>
    </row>
    <row r="56" spans="1:14" ht="150" customHeight="1" x14ac:dyDescent="0.25">
      <c r="A56" s="49"/>
      <c r="B56" s="68"/>
      <c r="C56" s="49"/>
      <c r="D56" s="71"/>
      <c r="E56" s="47"/>
      <c r="F56" s="47"/>
      <c r="G56" s="49"/>
      <c r="H56" s="62"/>
      <c r="I56" s="50"/>
      <c r="J56" s="62"/>
      <c r="K56" s="49"/>
      <c r="L56" s="49"/>
      <c r="M56" s="51"/>
      <c r="N56" s="50"/>
    </row>
    <row r="57" spans="1:14" ht="150" customHeight="1" x14ac:dyDescent="0.25">
      <c r="A57" s="49"/>
      <c r="B57" s="68"/>
      <c r="C57" s="49"/>
      <c r="D57" s="71"/>
      <c r="E57" s="47"/>
      <c r="F57" s="47"/>
      <c r="G57" s="49"/>
      <c r="H57" s="62"/>
      <c r="I57" s="50"/>
      <c r="J57" s="49"/>
      <c r="K57" s="49"/>
      <c r="L57" s="49"/>
      <c r="M57" s="51"/>
      <c r="N57" s="50"/>
    </row>
    <row r="58" spans="1:14" ht="150" customHeight="1" x14ac:dyDescent="0.25">
      <c r="A58" s="49"/>
      <c r="B58" s="68"/>
      <c r="C58" s="49"/>
      <c r="D58" s="71"/>
      <c r="E58" s="47"/>
      <c r="F58" s="47"/>
      <c r="G58" s="49"/>
      <c r="H58" s="62"/>
      <c r="I58" s="50"/>
      <c r="J58" s="49"/>
      <c r="K58" s="49"/>
      <c r="L58" s="49"/>
      <c r="M58" s="51"/>
      <c r="N58" s="50"/>
    </row>
    <row r="59" spans="1:14" ht="150" customHeight="1" x14ac:dyDescent="0.25">
      <c r="A59" s="49"/>
      <c r="B59" s="68"/>
      <c r="C59" s="49"/>
      <c r="D59" s="71"/>
      <c r="E59" s="47"/>
      <c r="F59" s="47"/>
      <c r="G59" s="49"/>
      <c r="H59" s="62"/>
      <c r="I59" s="50"/>
      <c r="J59" s="49"/>
      <c r="K59" s="49"/>
      <c r="L59" s="49"/>
      <c r="M59" s="51"/>
      <c r="N59" s="50"/>
    </row>
    <row r="60" spans="1:14" ht="150" customHeight="1" x14ac:dyDescent="0.25">
      <c r="A60" s="49"/>
      <c r="B60" s="68"/>
      <c r="C60" s="49"/>
      <c r="D60" s="71"/>
      <c r="E60" s="47"/>
      <c r="F60" s="47"/>
      <c r="G60" s="49"/>
      <c r="H60" s="62"/>
      <c r="I60" s="50"/>
      <c r="J60" s="49"/>
      <c r="K60" s="49"/>
      <c r="L60" s="49"/>
      <c r="M60" s="51"/>
      <c r="N60" s="50"/>
    </row>
    <row r="61" spans="1:14" ht="150" customHeight="1" x14ac:dyDescent="0.25">
      <c r="A61" s="49"/>
      <c r="B61" s="68"/>
      <c r="C61" s="49"/>
      <c r="D61" s="71"/>
      <c r="E61" s="47"/>
      <c r="F61" s="47"/>
      <c r="G61" s="49"/>
      <c r="H61" s="62"/>
      <c r="I61" s="50"/>
      <c r="J61" s="49"/>
      <c r="K61" s="49"/>
      <c r="L61" s="49"/>
      <c r="M61" s="51"/>
      <c r="N61" s="50"/>
    </row>
    <row r="62" spans="1:14" ht="150" customHeight="1" x14ac:dyDescent="0.25">
      <c r="A62" s="49"/>
      <c r="B62" s="68"/>
      <c r="C62" s="49"/>
      <c r="D62" s="71"/>
      <c r="E62" s="47"/>
      <c r="F62" s="47"/>
      <c r="G62" s="49"/>
      <c r="H62" s="62"/>
      <c r="I62" s="50"/>
      <c r="J62" s="49"/>
      <c r="K62" s="49"/>
      <c r="L62" s="49"/>
      <c r="M62" s="51"/>
      <c r="N62" s="50"/>
    </row>
    <row r="63" spans="1:14" ht="150" customHeight="1" x14ac:dyDescent="0.25">
      <c r="A63" s="49"/>
      <c r="B63" s="68"/>
      <c r="C63" s="49"/>
      <c r="D63" s="71"/>
      <c r="E63" s="47"/>
      <c r="F63" s="47"/>
      <c r="G63" s="49"/>
      <c r="H63" s="62"/>
      <c r="I63" s="50"/>
      <c r="J63" s="49"/>
      <c r="K63" s="49"/>
      <c r="L63" s="49"/>
      <c r="M63" s="51"/>
      <c r="N63" s="50"/>
    </row>
    <row r="64" spans="1:14" ht="150" customHeight="1" x14ac:dyDescent="0.25">
      <c r="A64" s="49"/>
      <c r="B64" s="68"/>
      <c r="C64" s="49"/>
      <c r="D64" s="71"/>
      <c r="E64" s="47"/>
      <c r="F64" s="47"/>
      <c r="G64" s="49"/>
      <c r="H64" s="62"/>
      <c r="I64" s="50"/>
      <c r="J64" s="49"/>
      <c r="K64" s="49"/>
      <c r="L64" s="49"/>
      <c r="M64" s="51"/>
      <c r="N64" s="50"/>
    </row>
    <row r="65" spans="1:14" ht="150" customHeight="1" x14ac:dyDescent="0.25">
      <c r="A65" s="49"/>
      <c r="B65" s="68"/>
      <c r="C65" s="49"/>
      <c r="D65" s="47"/>
      <c r="E65" s="47"/>
      <c r="F65" s="47"/>
      <c r="G65" s="49"/>
      <c r="H65" s="62"/>
      <c r="I65" s="50"/>
      <c r="J65" s="49"/>
      <c r="K65" s="49"/>
      <c r="L65" s="49"/>
      <c r="M65" s="51"/>
      <c r="N65" s="50"/>
    </row>
    <row r="66" spans="1:14" ht="150" customHeight="1" x14ac:dyDescent="0.25">
      <c r="A66" s="49"/>
      <c r="B66" s="68"/>
      <c r="C66" s="49"/>
      <c r="D66" s="47"/>
      <c r="E66" s="47"/>
      <c r="F66" s="47"/>
      <c r="G66" s="49"/>
      <c r="H66" s="62"/>
      <c r="I66" s="50"/>
      <c r="J66" s="49"/>
      <c r="K66" s="49"/>
      <c r="L66" s="49"/>
      <c r="M66" s="51"/>
      <c r="N66" s="50"/>
    </row>
    <row r="67" spans="1:14" ht="150" customHeight="1" x14ac:dyDescent="0.25">
      <c r="A67" s="49"/>
      <c r="B67" s="68"/>
      <c r="C67" s="49"/>
      <c r="D67" s="47"/>
      <c r="E67" s="47"/>
      <c r="F67" s="47"/>
      <c r="G67" s="49"/>
      <c r="H67" s="62"/>
      <c r="I67" s="50"/>
      <c r="J67" s="49"/>
      <c r="K67" s="49"/>
      <c r="L67" s="49"/>
      <c r="M67" s="51"/>
      <c r="N67" s="50"/>
    </row>
    <row r="68" spans="1:14" ht="150" customHeight="1" x14ac:dyDescent="0.25">
      <c r="A68" s="49"/>
      <c r="B68" s="68"/>
      <c r="C68" s="49"/>
      <c r="D68" s="47"/>
      <c r="E68" s="47"/>
      <c r="F68" s="47"/>
      <c r="G68" s="49"/>
      <c r="H68" s="62"/>
      <c r="I68" s="50"/>
      <c r="J68" s="49"/>
      <c r="K68" s="49"/>
      <c r="L68" s="49"/>
      <c r="M68" s="51"/>
      <c r="N68" s="50"/>
    </row>
    <row r="69" spans="1:14" ht="150" customHeight="1" x14ac:dyDescent="0.25">
      <c r="A69" s="49"/>
      <c r="B69" s="68"/>
      <c r="C69" s="49"/>
      <c r="D69" s="47"/>
      <c r="E69" s="47"/>
      <c r="F69" s="47"/>
      <c r="G69" s="49"/>
      <c r="H69" s="62"/>
      <c r="I69" s="50"/>
      <c r="J69" s="49"/>
      <c r="K69" s="49"/>
      <c r="L69" s="49"/>
      <c r="M69" s="51"/>
      <c r="N69" s="50"/>
    </row>
    <row r="70" spans="1:14" ht="150" customHeight="1" x14ac:dyDescent="0.25">
      <c r="A70" s="49"/>
      <c r="B70" s="68"/>
      <c r="C70" s="49"/>
      <c r="D70" s="47"/>
      <c r="E70" s="47"/>
      <c r="F70" s="47"/>
      <c r="G70" s="49"/>
      <c r="H70" s="62"/>
      <c r="I70" s="50"/>
      <c r="J70" s="49"/>
      <c r="K70" s="49"/>
      <c r="L70" s="49"/>
      <c r="M70" s="51"/>
      <c r="N70" s="50"/>
    </row>
    <row r="71" spans="1:14" ht="150" customHeight="1" x14ac:dyDescent="0.25">
      <c r="A71" s="49"/>
      <c r="B71" s="68"/>
      <c r="C71" s="49"/>
      <c r="D71" s="47"/>
      <c r="E71" s="47"/>
      <c r="F71" s="47"/>
      <c r="G71" s="49"/>
      <c r="H71" s="62"/>
      <c r="I71" s="50"/>
      <c r="J71" s="49"/>
      <c r="K71" s="49"/>
      <c r="L71" s="49"/>
      <c r="M71" s="51"/>
      <c r="N71" s="49"/>
    </row>
    <row r="72" spans="1:14" ht="150" customHeight="1" x14ac:dyDescent="0.25">
      <c r="A72" s="49"/>
      <c r="B72" s="68"/>
      <c r="C72" s="49"/>
      <c r="D72" s="47"/>
      <c r="E72" s="47"/>
      <c r="F72" s="47"/>
      <c r="G72" s="49"/>
      <c r="H72" s="62"/>
      <c r="I72" s="50"/>
      <c r="J72" s="49"/>
      <c r="K72" s="49"/>
      <c r="L72" s="49"/>
      <c r="M72" s="51"/>
      <c r="N72" s="49"/>
    </row>
    <row r="73" spans="1:14" ht="150" customHeight="1" x14ac:dyDescent="0.25">
      <c r="A73" s="49"/>
      <c r="B73" s="68"/>
      <c r="C73" s="49"/>
      <c r="D73" s="47"/>
      <c r="E73" s="47"/>
      <c r="F73" s="47"/>
      <c r="G73" s="49"/>
      <c r="H73" s="62"/>
      <c r="I73" s="50"/>
      <c r="J73" s="49"/>
      <c r="K73" s="49"/>
      <c r="L73" s="49"/>
      <c r="M73" s="51"/>
      <c r="N73" s="49"/>
    </row>
    <row r="74" spans="1:14" ht="150" customHeight="1" x14ac:dyDescent="0.25">
      <c r="A74" s="49"/>
      <c r="B74" s="68"/>
      <c r="C74" s="49"/>
      <c r="D74" s="47"/>
      <c r="E74" s="47"/>
      <c r="F74" s="47"/>
      <c r="G74" s="49"/>
      <c r="H74" s="62"/>
      <c r="I74" s="50"/>
      <c r="J74" s="49"/>
      <c r="K74" s="49"/>
      <c r="L74" s="49"/>
      <c r="M74" s="51"/>
      <c r="N74" s="49"/>
    </row>
    <row r="75" spans="1:14" ht="150" customHeight="1" x14ac:dyDescent="0.25">
      <c r="A75" s="49"/>
      <c r="B75" s="68"/>
      <c r="C75" s="49"/>
      <c r="D75" s="47"/>
      <c r="E75" s="47"/>
      <c r="F75" s="47"/>
      <c r="G75" s="49"/>
      <c r="H75" s="62"/>
      <c r="I75" s="50"/>
      <c r="J75" s="49"/>
      <c r="K75" s="49"/>
      <c r="L75" s="49"/>
      <c r="M75" s="51"/>
      <c r="N75" s="49"/>
    </row>
    <row r="76" spans="1:14" ht="150" customHeight="1" x14ac:dyDescent="0.25">
      <c r="A76" s="49"/>
      <c r="B76" s="68"/>
      <c r="C76" s="49"/>
      <c r="D76" s="47"/>
      <c r="E76" s="47"/>
      <c r="F76" s="47"/>
      <c r="G76" s="49"/>
      <c r="H76" s="62"/>
      <c r="I76" s="50"/>
      <c r="J76" s="49"/>
      <c r="K76" s="49"/>
      <c r="L76" s="49"/>
      <c r="M76" s="51"/>
      <c r="N76" s="49"/>
    </row>
    <row r="77" spans="1:14" ht="150" customHeight="1" x14ac:dyDescent="0.25">
      <c r="A77" s="49"/>
      <c r="B77" s="68"/>
      <c r="C77" s="49"/>
      <c r="D77" s="47"/>
      <c r="E77" s="47"/>
      <c r="F77" s="47"/>
      <c r="G77" s="49"/>
      <c r="H77" s="62"/>
      <c r="I77" s="50"/>
      <c r="J77" s="49"/>
      <c r="K77" s="49"/>
      <c r="L77" s="49"/>
      <c r="M77" s="51"/>
      <c r="N77" s="49"/>
    </row>
    <row r="78" spans="1:14" ht="150" customHeight="1" x14ac:dyDescent="0.25">
      <c r="A78" s="49"/>
      <c r="B78" s="68"/>
      <c r="C78" s="49"/>
      <c r="D78" s="47"/>
      <c r="E78" s="47"/>
      <c r="F78" s="47"/>
      <c r="G78" s="49"/>
      <c r="H78" s="50"/>
      <c r="I78" s="50"/>
      <c r="J78" s="49"/>
      <c r="K78" s="49"/>
      <c r="L78" s="49"/>
      <c r="M78" s="51"/>
      <c r="N78" s="49"/>
    </row>
    <row r="79" spans="1:14" ht="150" customHeight="1" x14ac:dyDescent="0.25">
      <c r="A79" s="49"/>
      <c r="B79" s="68"/>
      <c r="C79" s="49"/>
      <c r="D79" s="47"/>
      <c r="E79" s="47"/>
      <c r="F79" s="47"/>
      <c r="G79" s="49"/>
      <c r="H79" s="50"/>
      <c r="I79" s="50"/>
      <c r="J79" s="49"/>
      <c r="K79" s="49"/>
      <c r="L79" s="49"/>
      <c r="M79" s="51"/>
      <c r="N79" s="49"/>
    </row>
    <row r="80" spans="1:14" ht="150" customHeight="1" x14ac:dyDescent="0.25">
      <c r="A80" s="49"/>
      <c r="B80" s="68"/>
      <c r="C80" s="49"/>
      <c r="D80" s="47"/>
      <c r="E80" s="47"/>
      <c r="F80" s="47"/>
      <c r="G80" s="49"/>
      <c r="H80" s="50"/>
      <c r="I80" s="50"/>
      <c r="J80" s="49"/>
      <c r="K80" s="49"/>
      <c r="L80" s="49"/>
      <c r="M80" s="51"/>
      <c r="N80" s="49"/>
    </row>
    <row r="81" spans="1:14" ht="150" customHeight="1" x14ac:dyDescent="0.25">
      <c r="A81" s="49"/>
      <c r="B81" s="68"/>
      <c r="C81" s="49"/>
      <c r="D81" s="47"/>
      <c r="E81" s="47"/>
      <c r="F81" s="47"/>
      <c r="G81" s="49"/>
      <c r="H81" s="50"/>
      <c r="I81" s="50"/>
      <c r="J81" s="49"/>
      <c r="K81" s="49"/>
      <c r="L81" s="49"/>
      <c r="M81" s="51"/>
      <c r="N81" s="49"/>
    </row>
    <row r="82" spans="1:14" ht="150" customHeight="1" x14ac:dyDescent="0.25">
      <c r="A82" s="49"/>
      <c r="B82" s="68"/>
      <c r="C82" s="49"/>
      <c r="D82" s="47"/>
      <c r="E82" s="47"/>
      <c r="F82" s="47"/>
      <c r="G82" s="49"/>
      <c r="H82" s="50"/>
      <c r="I82" s="50"/>
      <c r="J82" s="49"/>
      <c r="K82" s="49"/>
      <c r="L82" s="49"/>
      <c r="M82" s="51"/>
      <c r="N82" s="49"/>
    </row>
    <row r="83" spans="1:14" ht="150" customHeight="1" x14ac:dyDescent="0.25">
      <c r="A83" s="49"/>
      <c r="B83" s="68"/>
      <c r="C83" s="49"/>
      <c r="D83" s="47"/>
      <c r="E83" s="47"/>
      <c r="F83" s="47"/>
      <c r="G83" s="49"/>
      <c r="H83" s="50"/>
      <c r="I83" s="50"/>
      <c r="J83" s="49"/>
      <c r="K83" s="49"/>
      <c r="L83" s="49"/>
      <c r="M83" s="51"/>
      <c r="N83" s="49"/>
    </row>
    <row r="84" spans="1:14" ht="150" customHeight="1" x14ac:dyDescent="0.25">
      <c r="A84" s="49"/>
      <c r="B84" s="68"/>
      <c r="C84" s="49"/>
      <c r="D84" s="47"/>
      <c r="E84" s="47"/>
      <c r="F84" s="47"/>
      <c r="G84" s="49"/>
      <c r="H84" s="50"/>
      <c r="I84" s="50"/>
      <c r="J84" s="49"/>
      <c r="K84" s="49"/>
      <c r="L84" s="49"/>
      <c r="M84" s="51"/>
      <c r="N84" s="49"/>
    </row>
    <row r="85" spans="1:14" ht="150" customHeight="1" x14ac:dyDescent="0.25">
      <c r="A85" s="49"/>
      <c r="B85" s="68"/>
      <c r="C85" s="49"/>
      <c r="D85" s="47"/>
      <c r="E85" s="47"/>
      <c r="F85" s="47"/>
      <c r="G85" s="49"/>
      <c r="H85" s="50"/>
      <c r="I85" s="50"/>
      <c r="J85" s="49"/>
      <c r="K85" s="49"/>
      <c r="L85" s="49"/>
      <c r="M85" s="51"/>
      <c r="N85" s="49"/>
    </row>
    <row r="86" spans="1:14" ht="150" customHeight="1" x14ac:dyDescent="0.25">
      <c r="A86" s="49"/>
      <c r="B86" s="68"/>
      <c r="C86" s="49"/>
      <c r="D86" s="47"/>
      <c r="E86" s="47"/>
      <c r="F86" s="47"/>
      <c r="G86" s="49"/>
      <c r="H86" s="50"/>
      <c r="I86" s="50"/>
      <c r="J86" s="49"/>
      <c r="K86" s="49"/>
      <c r="L86" s="49"/>
      <c r="M86" s="51"/>
      <c r="N86" s="49"/>
    </row>
    <row r="87" spans="1:14" ht="150" customHeight="1" x14ac:dyDescent="0.25">
      <c r="A87" s="49"/>
      <c r="B87" s="68"/>
      <c r="C87" s="49"/>
      <c r="D87" s="47"/>
      <c r="E87" s="47"/>
      <c r="F87" s="47"/>
      <c r="G87" s="49"/>
      <c r="H87" s="50"/>
      <c r="I87" s="50"/>
      <c r="J87" s="49"/>
      <c r="K87" s="49"/>
      <c r="L87" s="49"/>
      <c r="M87" s="51"/>
      <c r="N87" s="49"/>
    </row>
    <row r="88" spans="1:14" ht="150" customHeight="1" x14ac:dyDescent="0.25">
      <c r="A88" s="49"/>
      <c r="B88" s="68"/>
      <c r="C88" s="49"/>
      <c r="D88" s="47"/>
      <c r="E88" s="47"/>
      <c r="F88" s="47"/>
      <c r="G88" s="49"/>
      <c r="H88" s="50"/>
      <c r="I88" s="50"/>
      <c r="J88" s="49"/>
      <c r="K88" s="49"/>
      <c r="L88" s="49"/>
      <c r="M88" s="51"/>
      <c r="N88" s="49"/>
    </row>
    <row r="89" spans="1:14" ht="150" customHeight="1" x14ac:dyDescent="0.25">
      <c r="A89" s="49"/>
      <c r="B89" s="68"/>
      <c r="C89" s="49"/>
      <c r="D89" s="47"/>
      <c r="E89" s="47"/>
      <c r="F89" s="47"/>
      <c r="G89" s="49"/>
      <c r="H89" s="50"/>
      <c r="I89" s="50"/>
      <c r="J89" s="49"/>
      <c r="K89" s="49"/>
      <c r="L89" s="49"/>
      <c r="M89" s="51"/>
      <c r="N89" s="49"/>
    </row>
    <row r="90" spans="1:14" ht="150" customHeight="1" x14ac:dyDescent="0.25">
      <c r="A90" s="49"/>
      <c r="B90" s="68"/>
      <c r="C90" s="49"/>
      <c r="D90" s="47"/>
      <c r="E90" s="47"/>
      <c r="F90" s="47"/>
      <c r="G90" s="49"/>
      <c r="H90" s="50"/>
      <c r="I90" s="50"/>
      <c r="J90" s="49"/>
      <c r="K90" s="49"/>
      <c r="L90" s="49"/>
      <c r="M90" s="51"/>
      <c r="N90" s="49"/>
    </row>
    <row r="91" spans="1:14" ht="150" customHeight="1" x14ac:dyDescent="0.25">
      <c r="A91" s="49"/>
      <c r="B91" s="68"/>
      <c r="C91" s="49"/>
      <c r="D91" s="47"/>
      <c r="E91" s="47"/>
      <c r="F91" s="47"/>
      <c r="G91" s="49"/>
      <c r="H91" s="50"/>
      <c r="I91" s="50"/>
      <c r="J91" s="49"/>
      <c r="K91" s="49"/>
      <c r="L91" s="49"/>
      <c r="M91" s="51"/>
      <c r="N91" s="49"/>
    </row>
    <row r="92" spans="1:14" ht="150" customHeight="1" x14ac:dyDescent="0.25">
      <c r="A92" s="49"/>
      <c r="B92" s="68"/>
      <c r="C92" s="49"/>
      <c r="D92" s="47"/>
      <c r="E92" s="47"/>
      <c r="F92" s="47"/>
      <c r="G92" s="49"/>
      <c r="H92" s="50"/>
      <c r="I92" s="50"/>
      <c r="J92" s="49"/>
      <c r="K92" s="49"/>
      <c r="L92" s="49"/>
      <c r="M92" s="51"/>
      <c r="N92" s="49"/>
    </row>
    <row r="93" spans="1:14" ht="150" customHeight="1" x14ac:dyDescent="0.25">
      <c r="A93" s="49"/>
      <c r="B93" s="68"/>
      <c r="C93" s="49"/>
      <c r="D93" s="47"/>
      <c r="E93" s="47"/>
      <c r="F93" s="47"/>
      <c r="G93" s="49"/>
      <c r="H93" s="50"/>
      <c r="I93" s="50"/>
      <c r="J93" s="49"/>
      <c r="K93" s="49"/>
      <c r="L93" s="49"/>
      <c r="M93" s="51"/>
      <c r="N93" s="49"/>
    </row>
    <row r="94" spans="1:14" ht="150" customHeight="1" x14ac:dyDescent="0.25">
      <c r="A94" s="49"/>
      <c r="B94" s="68"/>
      <c r="C94" s="49"/>
      <c r="D94" s="47"/>
      <c r="E94" s="47"/>
      <c r="F94" s="47"/>
      <c r="G94" s="49"/>
      <c r="H94" s="50"/>
      <c r="I94" s="50"/>
      <c r="J94" s="49"/>
      <c r="K94" s="49"/>
      <c r="L94" s="49"/>
      <c r="M94" s="51"/>
      <c r="N94" s="49"/>
    </row>
    <row r="95" spans="1:14" ht="150" customHeight="1" x14ac:dyDescent="0.25">
      <c r="A95" s="49"/>
      <c r="B95" s="68"/>
      <c r="C95" s="49"/>
      <c r="D95" s="47"/>
      <c r="E95" s="47"/>
      <c r="F95" s="47"/>
      <c r="G95" s="49"/>
      <c r="H95" s="50"/>
      <c r="I95" s="50"/>
      <c r="J95" s="49"/>
      <c r="K95" s="49"/>
      <c r="L95" s="49"/>
      <c r="M95" s="51"/>
      <c r="N95" s="49"/>
    </row>
    <row r="96" spans="1:14" ht="150" customHeight="1" x14ac:dyDescent="0.25">
      <c r="A96" s="49"/>
      <c r="B96" s="68"/>
      <c r="C96" s="49"/>
      <c r="D96" s="47"/>
      <c r="E96" s="47"/>
      <c r="F96" s="47"/>
      <c r="G96" s="49"/>
      <c r="H96" s="50"/>
      <c r="I96" s="50"/>
      <c r="J96" s="49"/>
      <c r="K96" s="49"/>
      <c r="L96" s="49"/>
      <c r="M96" s="51"/>
      <c r="N96" s="49"/>
    </row>
    <row r="97" spans="1:14" ht="150" customHeight="1" x14ac:dyDescent="0.25">
      <c r="A97" s="49"/>
      <c r="B97" s="68"/>
      <c r="C97" s="49"/>
      <c r="D97" s="47"/>
      <c r="E97" s="47"/>
      <c r="F97" s="47"/>
      <c r="G97" s="49"/>
      <c r="H97" s="50"/>
      <c r="I97" s="50"/>
      <c r="J97" s="49"/>
      <c r="K97" s="49"/>
      <c r="L97" s="49"/>
      <c r="M97" s="51"/>
      <c r="N97" s="49"/>
    </row>
    <row r="98" spans="1:14" ht="150" customHeight="1" x14ac:dyDescent="0.25">
      <c r="A98" s="49"/>
      <c r="B98" s="68"/>
      <c r="C98" s="49"/>
      <c r="D98" s="47"/>
      <c r="E98" s="47"/>
      <c r="F98" s="47"/>
      <c r="G98" s="49"/>
      <c r="H98" s="50"/>
      <c r="I98" s="50"/>
      <c r="J98" s="49"/>
      <c r="K98" s="49"/>
      <c r="L98" s="49"/>
      <c r="M98" s="51"/>
      <c r="N98" s="49"/>
    </row>
    <row r="99" spans="1:14" ht="150" customHeight="1" x14ac:dyDescent="0.25">
      <c r="A99" s="49"/>
      <c r="B99" s="68"/>
      <c r="C99" s="49"/>
      <c r="D99" s="47"/>
      <c r="E99" s="47"/>
      <c r="F99" s="47"/>
      <c r="G99" s="49"/>
      <c r="H99" s="50"/>
      <c r="I99" s="50"/>
      <c r="J99" s="49"/>
      <c r="K99" s="49"/>
      <c r="L99" s="49"/>
      <c r="M99" s="51"/>
      <c r="N99" s="49"/>
    </row>
    <row r="100" spans="1:14" ht="150" customHeight="1" x14ac:dyDescent="0.25">
      <c r="A100" s="49"/>
      <c r="B100" s="68"/>
      <c r="C100" s="49"/>
      <c r="D100" s="47"/>
      <c r="E100" s="47"/>
      <c r="F100" s="47"/>
      <c r="G100" s="49"/>
      <c r="H100" s="50"/>
      <c r="I100" s="50"/>
      <c r="J100" s="49"/>
      <c r="K100" s="49"/>
      <c r="L100" s="49"/>
      <c r="M100" s="51"/>
      <c r="N100" s="49"/>
    </row>
    <row r="101" spans="1:14" ht="150" customHeight="1" x14ac:dyDescent="0.25">
      <c r="A101" s="49"/>
      <c r="B101" s="68"/>
      <c r="C101" s="49"/>
      <c r="D101" s="47"/>
      <c r="E101" s="47"/>
      <c r="F101" s="47"/>
      <c r="G101" s="49"/>
      <c r="H101" s="50"/>
      <c r="I101" s="50"/>
      <c r="J101" s="49"/>
      <c r="K101" s="49"/>
      <c r="L101" s="49"/>
      <c r="M101" s="51"/>
      <c r="N101" s="49"/>
    </row>
    <row r="102" spans="1:14" ht="150" customHeight="1" x14ac:dyDescent="0.25">
      <c r="A102" s="49"/>
      <c r="B102" s="68"/>
      <c r="C102" s="49"/>
      <c r="D102" s="47"/>
      <c r="E102" s="47"/>
      <c r="F102" s="47"/>
      <c r="G102" s="49"/>
      <c r="H102" s="50"/>
      <c r="I102" s="50"/>
      <c r="J102" s="49"/>
      <c r="K102" s="49"/>
      <c r="L102" s="49"/>
      <c r="M102" s="51"/>
      <c r="N102" s="49"/>
    </row>
    <row r="103" spans="1:14" ht="150" customHeight="1" x14ac:dyDescent="0.25">
      <c r="A103" s="49"/>
      <c r="B103" s="68"/>
      <c r="C103" s="49"/>
      <c r="D103" s="47"/>
      <c r="E103" s="47"/>
      <c r="F103" s="47"/>
      <c r="G103" s="49"/>
      <c r="H103" s="50"/>
      <c r="I103" s="50"/>
      <c r="J103" s="49"/>
      <c r="K103" s="49"/>
      <c r="L103" s="49"/>
      <c r="M103" s="51"/>
      <c r="N103" s="49"/>
    </row>
    <row r="104" spans="1:14" ht="150" customHeight="1" x14ac:dyDescent="0.25">
      <c r="A104" s="49"/>
      <c r="B104" s="68"/>
      <c r="C104" s="49"/>
      <c r="D104" s="47"/>
      <c r="E104" s="47"/>
      <c r="F104" s="47"/>
      <c r="G104" s="49"/>
      <c r="H104" s="50"/>
      <c r="I104" s="50"/>
      <c r="J104" s="49"/>
      <c r="K104" s="49"/>
      <c r="L104" s="49"/>
      <c r="M104" s="51"/>
      <c r="N104" s="49"/>
    </row>
    <row r="105" spans="1:14" ht="150" customHeight="1" x14ac:dyDescent="0.25">
      <c r="A105" s="49"/>
      <c r="B105" s="68"/>
      <c r="C105" s="49"/>
      <c r="D105" s="47"/>
      <c r="E105" s="47"/>
      <c r="F105" s="47"/>
      <c r="G105" s="49"/>
      <c r="H105" s="50"/>
      <c r="I105" s="50"/>
      <c r="J105" s="49"/>
      <c r="K105" s="49"/>
      <c r="L105" s="49"/>
      <c r="M105" s="51"/>
      <c r="N105" s="49"/>
    </row>
    <row r="106" spans="1:14" ht="150" customHeight="1" x14ac:dyDescent="0.25">
      <c r="A106" s="49"/>
      <c r="B106" s="68"/>
      <c r="C106" s="49"/>
      <c r="D106" s="47"/>
      <c r="E106" s="47"/>
      <c r="F106" s="47"/>
      <c r="G106" s="49"/>
      <c r="H106" s="50"/>
      <c r="I106" s="50"/>
      <c r="J106" s="49"/>
      <c r="K106" s="49"/>
      <c r="L106" s="49"/>
      <c r="M106" s="51"/>
      <c r="N106" s="49"/>
    </row>
    <row r="107" spans="1:14" ht="150" customHeight="1" x14ac:dyDescent="0.25">
      <c r="A107" s="49"/>
      <c r="B107" s="68"/>
      <c r="C107" s="49"/>
      <c r="D107" s="47"/>
      <c r="E107" s="47"/>
      <c r="F107" s="47"/>
      <c r="G107" s="49"/>
      <c r="H107" s="50"/>
      <c r="I107" s="50"/>
      <c r="J107" s="49"/>
      <c r="K107" s="49"/>
      <c r="L107" s="49"/>
      <c r="M107" s="51"/>
      <c r="N107" s="49"/>
    </row>
    <row r="108" spans="1:14" ht="150" customHeight="1" x14ac:dyDescent="0.25">
      <c r="A108" s="49"/>
      <c r="B108" s="68"/>
      <c r="C108" s="49"/>
      <c r="D108" s="47"/>
      <c r="E108" s="47"/>
      <c r="F108" s="47"/>
      <c r="G108" s="49"/>
      <c r="H108" s="50"/>
      <c r="I108" s="50"/>
      <c r="J108" s="49"/>
      <c r="K108" s="49"/>
      <c r="L108" s="49"/>
      <c r="M108" s="51"/>
      <c r="N108" s="49"/>
    </row>
    <row r="109" spans="1:14" ht="150" customHeight="1" x14ac:dyDescent="0.25">
      <c r="A109" s="49"/>
      <c r="B109" s="68"/>
      <c r="C109" s="49"/>
      <c r="D109" s="47"/>
      <c r="E109" s="47"/>
      <c r="F109" s="47"/>
      <c r="G109" s="49"/>
      <c r="H109" s="50"/>
      <c r="I109" s="50"/>
      <c r="J109" s="49"/>
      <c r="K109" s="49"/>
      <c r="L109" s="49"/>
      <c r="M109" s="51"/>
      <c r="N109" s="49"/>
    </row>
    <row r="110" spans="1:14" ht="150" customHeight="1" x14ac:dyDescent="0.25">
      <c r="A110" s="49"/>
      <c r="B110" s="68"/>
      <c r="C110" s="49"/>
      <c r="D110" s="47"/>
      <c r="E110" s="47"/>
      <c r="F110" s="47"/>
      <c r="G110" s="49"/>
      <c r="H110" s="50"/>
      <c r="I110" s="50"/>
      <c r="J110" s="49"/>
      <c r="K110" s="49"/>
      <c r="L110" s="49"/>
      <c r="M110" s="51"/>
      <c r="N110" s="49"/>
    </row>
    <row r="111" spans="1:14" ht="150" customHeight="1" x14ac:dyDescent="0.25">
      <c r="A111" s="49"/>
      <c r="B111" s="68"/>
      <c r="C111" s="49"/>
      <c r="D111" s="47"/>
      <c r="E111" s="47"/>
      <c r="F111" s="47"/>
      <c r="G111" s="49"/>
      <c r="H111" s="50"/>
      <c r="I111" s="50"/>
      <c r="J111" s="49"/>
      <c r="K111" s="49"/>
      <c r="L111" s="49"/>
      <c r="M111" s="51"/>
      <c r="N111" s="49"/>
    </row>
    <row r="112" spans="1:14" ht="150" customHeight="1" x14ac:dyDescent="0.25">
      <c r="A112" s="49"/>
      <c r="B112" s="68"/>
      <c r="C112" s="49"/>
      <c r="D112" s="47"/>
      <c r="E112" s="47"/>
      <c r="F112" s="47"/>
      <c r="G112" s="49"/>
      <c r="H112" s="50"/>
      <c r="I112" s="50"/>
      <c r="J112" s="49"/>
      <c r="K112" s="49"/>
      <c r="L112" s="49"/>
      <c r="M112" s="51"/>
      <c r="N112" s="49"/>
    </row>
    <row r="113" spans="1:14" ht="150" customHeight="1" x14ac:dyDescent="0.25">
      <c r="A113" s="49"/>
      <c r="B113" s="68"/>
      <c r="C113" s="49"/>
      <c r="D113" s="47"/>
      <c r="E113" s="47"/>
      <c r="F113" s="47"/>
      <c r="G113" s="49"/>
      <c r="H113" s="50"/>
      <c r="I113" s="50"/>
      <c r="J113" s="49"/>
      <c r="K113" s="49"/>
      <c r="L113" s="49"/>
      <c r="M113" s="51"/>
      <c r="N113" s="49"/>
    </row>
    <row r="114" spans="1:14" ht="150" customHeight="1" x14ac:dyDescent="0.25">
      <c r="A114" s="49"/>
      <c r="B114" s="68"/>
      <c r="C114" s="49"/>
      <c r="D114" s="47"/>
      <c r="E114" s="47"/>
      <c r="F114" s="47"/>
      <c r="G114" s="49"/>
      <c r="H114" s="50"/>
      <c r="I114" s="50"/>
      <c r="J114" s="49"/>
      <c r="K114" s="49"/>
      <c r="L114" s="49"/>
      <c r="M114" s="51"/>
      <c r="N114" s="49"/>
    </row>
    <row r="115" spans="1:14" ht="150" customHeight="1" x14ac:dyDescent="0.25">
      <c r="A115" s="49"/>
      <c r="B115" s="68"/>
      <c r="C115" s="49"/>
      <c r="D115" s="47"/>
      <c r="E115" s="47"/>
      <c r="F115" s="47"/>
      <c r="G115" s="49"/>
      <c r="H115" s="50"/>
      <c r="I115" s="50"/>
      <c r="J115" s="49"/>
      <c r="K115" s="49"/>
      <c r="L115" s="49"/>
      <c r="M115" s="51"/>
      <c r="N115" s="49"/>
    </row>
    <row r="116" spans="1:14" ht="150" customHeight="1" x14ac:dyDescent="0.25">
      <c r="A116" s="49"/>
      <c r="B116" s="68"/>
      <c r="C116" s="49"/>
      <c r="D116" s="47"/>
      <c r="E116" s="47"/>
      <c r="F116" s="47"/>
      <c r="G116" s="49"/>
      <c r="H116" s="50"/>
      <c r="I116" s="50"/>
      <c r="J116" s="49"/>
      <c r="K116" s="49"/>
      <c r="L116" s="49"/>
      <c r="M116" s="51"/>
      <c r="N116" s="49"/>
    </row>
    <row r="117" spans="1:14" ht="150" customHeight="1" x14ac:dyDescent="0.25">
      <c r="A117" s="49"/>
      <c r="B117" s="68"/>
      <c r="C117" s="49"/>
      <c r="D117" s="47"/>
      <c r="E117" s="47"/>
      <c r="F117" s="47"/>
      <c r="G117" s="49"/>
      <c r="H117" s="50"/>
      <c r="I117" s="50"/>
      <c r="J117" s="49"/>
      <c r="K117" s="49"/>
      <c r="L117" s="49"/>
      <c r="M117" s="51"/>
      <c r="N117" s="49"/>
    </row>
    <row r="118" spans="1:14" ht="150" customHeight="1" x14ac:dyDescent="0.25">
      <c r="A118" s="49"/>
      <c r="B118" s="68"/>
      <c r="C118" s="49"/>
      <c r="D118" s="47"/>
      <c r="E118" s="47"/>
      <c r="F118" s="47"/>
      <c r="G118" s="49"/>
      <c r="H118" s="50"/>
      <c r="I118" s="50"/>
      <c r="J118" s="49"/>
      <c r="K118" s="49"/>
      <c r="L118" s="49"/>
      <c r="M118" s="51"/>
      <c r="N118" s="49"/>
    </row>
    <row r="119" spans="1:14" ht="150" customHeight="1" x14ac:dyDescent="0.25">
      <c r="A119" s="49"/>
      <c r="B119" s="68"/>
      <c r="C119" s="49"/>
      <c r="D119" s="47"/>
      <c r="E119" s="47"/>
      <c r="F119" s="47"/>
      <c r="G119" s="49"/>
      <c r="H119" s="50"/>
      <c r="I119" s="50"/>
      <c r="J119" s="49"/>
      <c r="K119" s="49"/>
      <c r="L119" s="49"/>
      <c r="M119" s="51"/>
      <c r="N119" s="49"/>
    </row>
    <row r="120" spans="1:14" ht="150" customHeight="1" x14ac:dyDescent="0.25">
      <c r="A120" s="49"/>
      <c r="B120" s="68"/>
      <c r="C120" s="49"/>
      <c r="D120" s="47"/>
      <c r="E120" s="47"/>
      <c r="F120" s="47"/>
      <c r="G120" s="49"/>
      <c r="H120" s="50"/>
      <c r="I120" s="50"/>
      <c r="J120" s="49"/>
      <c r="K120" s="49"/>
      <c r="L120" s="49"/>
      <c r="M120" s="51"/>
      <c r="N120" s="49"/>
    </row>
    <row r="121" spans="1:14" ht="150" customHeight="1" x14ac:dyDescent="0.25">
      <c r="A121" s="49"/>
      <c r="B121" s="68"/>
      <c r="C121" s="49"/>
      <c r="D121" s="47"/>
      <c r="E121" s="47"/>
      <c r="F121" s="47"/>
      <c r="G121" s="49"/>
      <c r="H121" s="50"/>
      <c r="I121" s="50"/>
      <c r="J121" s="49"/>
      <c r="K121" s="49"/>
      <c r="L121" s="49"/>
      <c r="M121" s="51"/>
      <c r="N121" s="49"/>
    </row>
    <row r="122" spans="1:14" ht="150" customHeight="1" x14ac:dyDescent="0.25">
      <c r="A122" s="49"/>
      <c r="B122" s="68"/>
      <c r="C122" s="49"/>
      <c r="D122" s="47"/>
      <c r="E122" s="47"/>
      <c r="F122" s="47"/>
      <c r="G122" s="49"/>
      <c r="H122" s="50"/>
      <c r="I122" s="50"/>
      <c r="J122" s="49"/>
      <c r="K122" s="49"/>
      <c r="L122" s="49"/>
      <c r="M122" s="51"/>
      <c r="N122" s="49"/>
    </row>
    <row r="123" spans="1:14" ht="150" customHeight="1" x14ac:dyDescent="0.25">
      <c r="A123" s="49"/>
      <c r="B123" s="68"/>
      <c r="C123" s="49"/>
      <c r="D123" s="47"/>
      <c r="E123" s="47"/>
      <c r="F123" s="47"/>
      <c r="G123" s="49"/>
      <c r="H123" s="50"/>
      <c r="I123" s="50"/>
      <c r="J123" s="49"/>
      <c r="K123" s="49"/>
      <c r="L123" s="49"/>
      <c r="M123" s="51"/>
      <c r="N123" s="49"/>
    </row>
    <row r="124" spans="1:14" ht="150" customHeight="1" x14ac:dyDescent="0.25">
      <c r="A124" s="49"/>
      <c r="B124" s="68"/>
      <c r="C124" s="49"/>
      <c r="D124" s="47"/>
      <c r="E124" s="47"/>
      <c r="F124" s="47"/>
      <c r="G124" s="49"/>
      <c r="H124" s="50"/>
      <c r="I124" s="50"/>
      <c r="J124" s="49"/>
      <c r="K124" s="49"/>
      <c r="L124" s="49"/>
      <c r="M124" s="51"/>
      <c r="N124" s="49"/>
    </row>
    <row r="125" spans="1:14" ht="150" customHeight="1" x14ac:dyDescent="0.25">
      <c r="A125" s="49"/>
      <c r="B125" s="68"/>
      <c r="C125" s="49"/>
      <c r="D125" s="47"/>
      <c r="E125" s="47"/>
      <c r="F125" s="47"/>
      <c r="G125" s="49"/>
      <c r="H125" s="50"/>
      <c r="I125" s="50"/>
      <c r="J125" s="49"/>
      <c r="K125" s="49"/>
      <c r="L125" s="49"/>
      <c r="M125" s="51"/>
      <c r="N125" s="49"/>
    </row>
    <row r="126" spans="1:14" ht="150" customHeight="1" x14ac:dyDescent="0.25">
      <c r="A126" s="49"/>
      <c r="B126" s="68"/>
      <c r="C126" s="49"/>
      <c r="D126" s="47"/>
      <c r="E126" s="47"/>
      <c r="F126" s="47"/>
      <c r="G126" s="49"/>
      <c r="H126" s="50"/>
      <c r="I126" s="50"/>
      <c r="J126" s="49"/>
      <c r="K126" s="49"/>
      <c r="L126" s="49"/>
      <c r="M126" s="51"/>
      <c r="N126" s="49"/>
    </row>
    <row r="127" spans="1:14" ht="150" customHeight="1" x14ac:dyDescent="0.25">
      <c r="A127" s="49"/>
      <c r="B127" s="68"/>
      <c r="C127" s="49"/>
      <c r="D127" s="47"/>
      <c r="E127" s="47"/>
      <c r="F127" s="47"/>
      <c r="G127" s="49"/>
      <c r="H127" s="50"/>
      <c r="I127" s="50"/>
      <c r="J127" s="49"/>
      <c r="K127" s="49"/>
      <c r="L127" s="49"/>
      <c r="M127" s="51"/>
      <c r="N127" s="49"/>
    </row>
    <row r="128" spans="1:14" ht="150" customHeight="1" x14ac:dyDescent="0.25">
      <c r="A128" s="49"/>
      <c r="B128" s="68"/>
      <c r="C128" s="49"/>
      <c r="D128" s="47"/>
      <c r="E128" s="47"/>
      <c r="F128" s="47"/>
      <c r="G128" s="49"/>
      <c r="H128" s="50"/>
      <c r="I128" s="50"/>
      <c r="J128" s="49"/>
      <c r="K128" s="49"/>
      <c r="L128" s="49"/>
      <c r="M128" s="51"/>
      <c r="N128" s="49"/>
    </row>
    <row r="129" spans="1:14" ht="150" customHeight="1" x14ac:dyDescent="0.25">
      <c r="A129" s="49"/>
      <c r="B129" s="68"/>
      <c r="C129" s="49"/>
      <c r="D129" s="47"/>
      <c r="E129" s="47"/>
      <c r="F129" s="47"/>
      <c r="G129" s="49"/>
      <c r="H129" s="50"/>
      <c r="I129" s="50"/>
      <c r="J129" s="49"/>
      <c r="K129" s="49"/>
      <c r="L129" s="49"/>
      <c r="M129" s="51"/>
      <c r="N129" s="49"/>
    </row>
    <row r="130" spans="1:14" ht="150" customHeight="1" x14ac:dyDescent="0.25">
      <c r="A130" s="49"/>
      <c r="B130" s="68"/>
      <c r="C130" s="49"/>
      <c r="D130" s="47"/>
      <c r="E130" s="47"/>
      <c r="F130" s="47"/>
      <c r="G130" s="49"/>
      <c r="H130" s="50"/>
      <c r="I130" s="50"/>
      <c r="J130" s="49"/>
      <c r="K130" s="49"/>
      <c r="L130" s="49"/>
      <c r="M130" s="51"/>
      <c r="N130" s="49"/>
    </row>
    <row r="131" spans="1:14" ht="150" customHeight="1" x14ac:dyDescent="0.25">
      <c r="A131" s="49"/>
      <c r="B131" s="68"/>
      <c r="C131" s="49"/>
      <c r="D131" s="47"/>
      <c r="E131" s="47"/>
      <c r="F131" s="47"/>
      <c r="G131" s="49"/>
      <c r="H131" s="50"/>
      <c r="I131" s="50"/>
      <c r="J131" s="49"/>
      <c r="K131" s="49"/>
      <c r="L131" s="49"/>
      <c r="M131" s="51"/>
      <c r="N131" s="49"/>
    </row>
    <row r="132" spans="1:14" ht="150" customHeight="1" x14ac:dyDescent="0.25">
      <c r="A132" s="49"/>
      <c r="B132" s="68"/>
      <c r="C132" s="49"/>
      <c r="D132" s="47"/>
      <c r="E132" s="47"/>
      <c r="F132" s="47"/>
      <c r="G132" s="49"/>
      <c r="H132" s="50"/>
      <c r="I132" s="50"/>
      <c r="J132" s="49"/>
      <c r="K132" s="49"/>
      <c r="L132" s="49"/>
      <c r="M132" s="51"/>
      <c r="N132" s="49"/>
    </row>
    <row r="133" spans="1:14" ht="150" customHeight="1" x14ac:dyDescent="0.25">
      <c r="A133" s="49"/>
      <c r="B133" s="68"/>
      <c r="C133" s="49"/>
      <c r="D133" s="47"/>
      <c r="E133" s="47"/>
      <c r="F133" s="47"/>
      <c r="G133" s="49"/>
      <c r="H133" s="50"/>
      <c r="I133" s="50"/>
      <c r="J133" s="49"/>
      <c r="K133" s="49"/>
      <c r="L133" s="49"/>
      <c r="M133" s="51"/>
      <c r="N133" s="49"/>
    </row>
    <row r="134" spans="1:14" ht="150" customHeight="1" x14ac:dyDescent="0.25">
      <c r="A134" s="49"/>
      <c r="B134" s="68"/>
      <c r="C134" s="49"/>
      <c r="D134" s="47"/>
      <c r="E134" s="47"/>
      <c r="F134" s="47"/>
      <c r="G134" s="49"/>
      <c r="H134" s="50"/>
      <c r="I134" s="50"/>
      <c r="J134" s="49"/>
      <c r="K134" s="49"/>
      <c r="L134" s="49"/>
      <c r="M134" s="51"/>
      <c r="N134" s="49"/>
    </row>
    <row r="135" spans="1:14" ht="150" customHeight="1" x14ac:dyDescent="0.25">
      <c r="A135" s="49"/>
      <c r="B135" s="68"/>
      <c r="C135" s="49"/>
      <c r="D135" s="47"/>
      <c r="E135" s="47"/>
      <c r="F135" s="47"/>
      <c r="G135" s="49"/>
      <c r="H135" s="50"/>
      <c r="I135" s="50"/>
      <c r="J135" s="49"/>
      <c r="K135" s="49"/>
      <c r="L135" s="49"/>
      <c r="M135" s="51"/>
      <c r="N135" s="49"/>
    </row>
    <row r="136" spans="1:14" ht="150" customHeight="1" x14ac:dyDescent="0.25">
      <c r="A136" s="49"/>
      <c r="B136" s="68"/>
      <c r="C136" s="49"/>
      <c r="D136" s="47"/>
      <c r="E136" s="47"/>
      <c r="F136" s="47"/>
      <c r="G136" s="49"/>
      <c r="H136" s="50"/>
      <c r="I136" s="50"/>
      <c r="J136" s="49"/>
      <c r="K136" s="49"/>
      <c r="L136" s="49"/>
      <c r="M136" s="51"/>
      <c r="N136" s="49"/>
    </row>
    <row r="137" spans="1:14" ht="150" customHeight="1" x14ac:dyDescent="0.25">
      <c r="A137" s="49"/>
      <c r="B137" s="68"/>
      <c r="C137" s="49"/>
      <c r="D137" s="47"/>
      <c r="E137" s="47"/>
      <c r="F137" s="47"/>
      <c r="G137" s="49"/>
      <c r="H137" s="50"/>
      <c r="I137" s="50"/>
      <c r="J137" s="49"/>
      <c r="K137" s="49"/>
      <c r="L137" s="49"/>
      <c r="M137" s="51"/>
      <c r="N137" s="49"/>
    </row>
    <row r="138" spans="1:14" ht="150" customHeight="1" x14ac:dyDescent="0.25">
      <c r="A138" s="49"/>
      <c r="B138" s="68"/>
      <c r="C138" s="49"/>
      <c r="D138" s="47"/>
      <c r="E138" s="47"/>
      <c r="F138" s="47"/>
      <c r="G138" s="49"/>
      <c r="H138" s="50"/>
      <c r="I138" s="50"/>
      <c r="J138" s="49"/>
      <c r="K138" s="49"/>
      <c r="L138" s="49"/>
      <c r="M138" s="51"/>
      <c r="N138" s="49"/>
    </row>
    <row r="139" spans="1:14" ht="150" customHeight="1" x14ac:dyDescent="0.25">
      <c r="A139" s="49"/>
      <c r="B139" s="68"/>
      <c r="C139" s="49"/>
      <c r="D139" s="47"/>
      <c r="E139" s="47"/>
      <c r="F139" s="47"/>
      <c r="G139" s="49"/>
      <c r="H139" s="50"/>
      <c r="I139" s="50"/>
      <c r="J139" s="49"/>
      <c r="K139" s="49"/>
      <c r="L139" s="49"/>
      <c r="M139" s="51"/>
      <c r="N139" s="49"/>
    </row>
    <row r="140" spans="1:14" ht="150" customHeight="1" x14ac:dyDescent="0.25">
      <c r="A140" s="49"/>
      <c r="B140" s="68"/>
      <c r="C140" s="49"/>
      <c r="D140" s="47"/>
      <c r="E140" s="47"/>
      <c r="F140" s="47"/>
      <c r="G140" s="49"/>
      <c r="H140" s="50"/>
      <c r="I140" s="50"/>
      <c r="J140" s="49"/>
      <c r="K140" s="49"/>
      <c r="L140" s="49"/>
      <c r="M140" s="51"/>
      <c r="N140" s="49"/>
    </row>
    <row r="141" spans="1:14" ht="150" customHeight="1" x14ac:dyDescent="0.25">
      <c r="A141" s="49"/>
      <c r="B141" s="68"/>
      <c r="C141" s="49"/>
      <c r="D141" s="47"/>
      <c r="E141" s="47"/>
      <c r="F141" s="47"/>
      <c r="G141" s="49"/>
      <c r="H141" s="50"/>
      <c r="I141" s="50"/>
      <c r="J141" s="49"/>
      <c r="K141" s="49"/>
      <c r="L141" s="49"/>
      <c r="M141" s="51"/>
      <c r="N141" s="49"/>
    </row>
    <row r="142" spans="1:14" ht="150" customHeight="1" x14ac:dyDescent="0.25">
      <c r="A142" s="49"/>
      <c r="B142" s="68"/>
      <c r="C142" s="49"/>
      <c r="D142" s="47"/>
      <c r="E142" s="47"/>
      <c r="F142" s="47"/>
      <c r="G142" s="49"/>
      <c r="H142" s="50"/>
      <c r="I142" s="50"/>
      <c r="J142" s="49"/>
      <c r="K142" s="49"/>
      <c r="L142" s="49"/>
      <c r="M142" s="51"/>
      <c r="N142" s="49"/>
    </row>
    <row r="143" spans="1:14" ht="150" customHeight="1" x14ac:dyDescent="0.25">
      <c r="A143" s="49"/>
      <c r="B143" s="68"/>
      <c r="C143" s="49"/>
      <c r="D143" s="47"/>
      <c r="E143" s="47"/>
      <c r="F143" s="47"/>
      <c r="G143" s="49"/>
      <c r="H143" s="50"/>
      <c r="I143" s="50"/>
      <c r="J143" s="49"/>
      <c r="K143" s="49"/>
      <c r="L143" s="49"/>
      <c r="M143" s="51"/>
      <c r="N143" s="49"/>
    </row>
    <row r="144" spans="1:14" ht="150" customHeight="1" x14ac:dyDescent="0.25">
      <c r="A144" s="49"/>
      <c r="B144" s="68"/>
      <c r="C144" s="49"/>
      <c r="D144" s="47"/>
      <c r="E144" s="47"/>
      <c r="F144" s="47"/>
      <c r="G144" s="49"/>
      <c r="H144" s="50"/>
      <c r="I144" s="50"/>
      <c r="J144" s="49"/>
      <c r="K144" s="49"/>
      <c r="L144" s="49"/>
      <c r="M144" s="51"/>
      <c r="N144" s="49"/>
    </row>
    <row r="145" spans="1:14" ht="150" customHeight="1" x14ac:dyDescent="0.25">
      <c r="A145" s="49"/>
      <c r="B145" s="68"/>
      <c r="C145" s="49"/>
      <c r="D145" s="47"/>
      <c r="E145" s="47"/>
      <c r="F145" s="47"/>
      <c r="G145" s="49"/>
      <c r="H145" s="50"/>
      <c r="I145" s="50"/>
      <c r="J145" s="49"/>
      <c r="K145" s="49"/>
      <c r="L145" s="49"/>
      <c r="M145" s="51"/>
      <c r="N145" s="49"/>
    </row>
    <row r="146" spans="1:14" ht="150" customHeight="1" x14ac:dyDescent="0.25">
      <c r="A146" s="49"/>
      <c r="B146" s="68"/>
      <c r="C146" s="49"/>
      <c r="D146" s="47"/>
      <c r="E146" s="47"/>
      <c r="F146" s="47"/>
      <c r="G146" s="49"/>
      <c r="H146" s="50"/>
      <c r="I146" s="50"/>
      <c r="J146" s="49"/>
      <c r="K146" s="49"/>
      <c r="L146" s="49"/>
      <c r="M146" s="51"/>
      <c r="N146" s="49"/>
    </row>
    <row r="147" spans="1:14" ht="150" customHeight="1" x14ac:dyDescent="0.25">
      <c r="A147" s="49"/>
      <c r="B147" s="68"/>
      <c r="C147" s="49"/>
      <c r="D147" s="47"/>
      <c r="E147" s="47"/>
      <c r="F147" s="47"/>
      <c r="G147" s="49"/>
      <c r="H147" s="50"/>
      <c r="I147" s="50"/>
      <c r="J147" s="49"/>
      <c r="K147" s="49"/>
      <c r="L147" s="49"/>
      <c r="M147" s="51"/>
      <c r="N147" s="49"/>
    </row>
    <row r="148" spans="1:14" ht="150" customHeight="1" x14ac:dyDescent="0.25">
      <c r="A148" s="49"/>
      <c r="B148" s="68"/>
      <c r="C148" s="49"/>
      <c r="D148" s="47"/>
      <c r="E148" s="47"/>
      <c r="F148" s="47"/>
      <c r="G148" s="49"/>
      <c r="H148" s="50"/>
      <c r="I148" s="50"/>
      <c r="J148" s="49"/>
      <c r="K148" s="49"/>
      <c r="L148" s="49"/>
      <c r="M148" s="51"/>
      <c r="N148" s="49"/>
    </row>
    <row r="149" spans="1:14" ht="150" customHeight="1" x14ac:dyDescent="0.25">
      <c r="A149" s="49"/>
      <c r="B149" s="68"/>
      <c r="C149" s="49"/>
      <c r="D149" s="47"/>
      <c r="E149" s="47"/>
      <c r="F149" s="47"/>
      <c r="G149" s="49"/>
      <c r="H149" s="50"/>
      <c r="I149" s="50"/>
      <c r="J149" s="49"/>
      <c r="K149" s="49"/>
      <c r="L149" s="49"/>
      <c r="M149" s="51"/>
      <c r="N149" s="49"/>
    </row>
    <row r="150" spans="1:14" ht="150" customHeight="1" x14ac:dyDescent="0.25">
      <c r="A150" s="49"/>
      <c r="B150" s="68"/>
      <c r="C150" s="49"/>
      <c r="D150" s="47"/>
      <c r="E150" s="47"/>
      <c r="F150" s="47"/>
      <c r="G150" s="49"/>
      <c r="H150" s="50"/>
      <c r="I150" s="50"/>
      <c r="J150" s="49"/>
      <c r="K150" s="49"/>
      <c r="L150" s="49"/>
      <c r="M150" s="51"/>
      <c r="N150" s="49"/>
    </row>
    <row r="151" spans="1:14" ht="150" customHeight="1" x14ac:dyDescent="0.25">
      <c r="A151" s="49"/>
      <c r="B151" s="68"/>
      <c r="C151" s="49"/>
      <c r="D151" s="47"/>
      <c r="E151" s="47"/>
      <c r="F151" s="47"/>
      <c r="G151" s="49"/>
      <c r="H151" s="50"/>
      <c r="I151" s="50"/>
      <c r="J151" s="49"/>
      <c r="K151" s="49"/>
      <c r="L151" s="49"/>
      <c r="M151" s="51"/>
      <c r="N151" s="49"/>
    </row>
    <row r="152" spans="1:14" ht="150" customHeight="1" x14ac:dyDescent="0.25">
      <c r="A152" s="49"/>
      <c r="B152" s="47"/>
      <c r="C152" s="49"/>
      <c r="D152" s="47"/>
      <c r="E152" s="49"/>
      <c r="F152" s="49"/>
      <c r="G152" s="49"/>
      <c r="H152" s="50"/>
      <c r="I152" s="50"/>
      <c r="J152" s="49"/>
      <c r="K152" s="49"/>
      <c r="L152" s="49"/>
      <c r="M152" s="51"/>
      <c r="N152" s="49"/>
    </row>
    <row r="153" spans="1:14" ht="150" customHeight="1" x14ac:dyDescent="0.25">
      <c r="A153" s="49"/>
      <c r="B153" s="47"/>
      <c r="C153" s="49"/>
      <c r="D153" s="47"/>
      <c r="E153" s="49"/>
      <c r="F153" s="49"/>
      <c r="G153" s="49"/>
      <c r="H153" s="50"/>
      <c r="I153" s="50"/>
      <c r="J153" s="49"/>
      <c r="K153" s="49"/>
      <c r="L153" s="49"/>
      <c r="M153" s="51"/>
      <c r="N153" s="49"/>
    </row>
    <row r="154" spans="1:14" ht="150" customHeight="1" x14ac:dyDescent="0.25">
      <c r="A154" s="49"/>
      <c r="B154" s="47"/>
      <c r="C154" s="49"/>
      <c r="D154" s="47"/>
      <c r="E154" s="49"/>
      <c r="F154" s="49"/>
      <c r="G154" s="49"/>
      <c r="H154" s="50"/>
      <c r="I154" s="50"/>
      <c r="J154" s="49"/>
      <c r="K154" s="49"/>
      <c r="L154" s="49"/>
      <c r="M154" s="51"/>
      <c r="N154" s="49"/>
    </row>
    <row r="155" spans="1:14" ht="150" customHeight="1" x14ac:dyDescent="0.25">
      <c r="A155" s="49"/>
      <c r="B155" s="47"/>
      <c r="C155" s="49"/>
      <c r="D155" s="47"/>
      <c r="E155" s="49"/>
      <c r="F155" s="49"/>
      <c r="G155" s="49"/>
      <c r="H155" s="50"/>
      <c r="I155" s="50"/>
      <c r="J155" s="49"/>
      <c r="K155" s="49"/>
      <c r="L155" s="49"/>
      <c r="M155" s="51"/>
      <c r="N155" s="49"/>
    </row>
    <row r="156" spans="1:14" ht="150" customHeight="1" x14ac:dyDescent="0.25">
      <c r="A156" s="49"/>
      <c r="B156" s="47"/>
      <c r="C156" s="49"/>
      <c r="D156" s="47"/>
      <c r="E156" s="49"/>
      <c r="F156" s="49"/>
      <c r="G156" s="49"/>
      <c r="H156" s="50"/>
      <c r="I156" s="50"/>
      <c r="J156" s="49"/>
      <c r="K156" s="49"/>
      <c r="L156" s="49"/>
      <c r="M156" s="51"/>
      <c r="N156" s="49"/>
    </row>
    <row r="157" spans="1:14" ht="150" customHeight="1" x14ac:dyDescent="0.25">
      <c r="A157" s="49"/>
      <c r="B157" s="47"/>
      <c r="C157" s="49"/>
      <c r="D157" s="47"/>
      <c r="E157" s="49"/>
      <c r="F157" s="49"/>
      <c r="G157" s="49"/>
      <c r="H157" s="50"/>
      <c r="I157" s="50"/>
      <c r="J157" s="49"/>
      <c r="K157" s="49"/>
      <c r="L157" s="49"/>
      <c r="M157" s="51"/>
      <c r="N157" s="49"/>
    </row>
    <row r="158" spans="1:14" ht="150" customHeight="1" x14ac:dyDescent="0.25">
      <c r="A158" s="49"/>
      <c r="B158" s="47"/>
      <c r="C158" s="49"/>
      <c r="D158" s="47"/>
      <c r="E158" s="49"/>
      <c r="F158" s="49"/>
      <c r="G158" s="49"/>
      <c r="H158" s="50"/>
      <c r="I158" s="50"/>
      <c r="J158" s="49"/>
      <c r="K158" s="49"/>
      <c r="L158" s="49"/>
      <c r="M158" s="51"/>
      <c r="N158" s="49"/>
    </row>
    <row r="159" spans="1:14" ht="150" customHeight="1" x14ac:dyDescent="0.25">
      <c r="A159" s="49"/>
      <c r="B159" s="47"/>
      <c r="C159" s="49"/>
      <c r="D159" s="47"/>
      <c r="E159" s="49"/>
      <c r="F159" s="49"/>
      <c r="G159" s="49"/>
      <c r="H159" s="50"/>
      <c r="I159" s="50"/>
      <c r="J159" s="49"/>
      <c r="K159" s="49"/>
      <c r="L159" s="49"/>
      <c r="M159" s="51"/>
      <c r="N159" s="49"/>
    </row>
    <row r="160" spans="1:14" ht="150" customHeight="1" x14ac:dyDescent="0.25">
      <c r="A160" s="49"/>
      <c r="B160" s="47"/>
      <c r="C160" s="49"/>
      <c r="D160" s="47"/>
      <c r="E160" s="49"/>
      <c r="F160" s="49"/>
      <c r="G160" s="49"/>
      <c r="H160" s="50"/>
      <c r="I160" s="50"/>
      <c r="J160" s="49"/>
      <c r="K160" s="49"/>
      <c r="L160" s="49"/>
      <c r="M160" s="51"/>
      <c r="N160" s="49"/>
    </row>
    <row r="161" spans="1:14" ht="150" customHeight="1" x14ac:dyDescent="0.25">
      <c r="A161" s="49"/>
      <c r="B161" s="47"/>
      <c r="C161" s="49"/>
      <c r="D161" s="47"/>
      <c r="E161" s="49"/>
      <c r="F161" s="49"/>
      <c r="G161" s="49"/>
      <c r="H161" s="50"/>
      <c r="I161" s="50"/>
      <c r="J161" s="49"/>
      <c r="K161" s="49"/>
      <c r="L161" s="49"/>
      <c r="M161" s="51"/>
      <c r="N161" s="49"/>
    </row>
    <row r="162" spans="1:14" ht="150" customHeight="1" x14ac:dyDescent="0.25">
      <c r="A162" s="49"/>
      <c r="B162" s="47"/>
      <c r="C162" s="49"/>
      <c r="D162" s="47"/>
      <c r="E162" s="49"/>
      <c r="F162" s="49"/>
      <c r="G162" s="49"/>
      <c r="H162" s="50"/>
      <c r="I162" s="50"/>
      <c r="J162" s="49"/>
      <c r="K162" s="49"/>
      <c r="L162" s="49"/>
      <c r="M162" s="51"/>
      <c r="N162" s="49"/>
    </row>
    <row r="163" spans="1:14" ht="150" customHeight="1" x14ac:dyDescent="0.25">
      <c r="A163" s="49"/>
      <c r="B163" s="47"/>
      <c r="C163" s="49"/>
      <c r="D163" s="47"/>
      <c r="E163" s="49"/>
      <c r="F163" s="49"/>
      <c r="G163" s="49"/>
      <c r="H163" s="50"/>
      <c r="I163" s="50"/>
      <c r="J163" s="49"/>
      <c r="K163" s="49"/>
      <c r="L163" s="49"/>
      <c r="M163" s="51"/>
      <c r="N163" s="49"/>
    </row>
    <row r="164" spans="1:14" ht="150" customHeight="1" x14ac:dyDescent="0.25">
      <c r="A164" s="49"/>
      <c r="B164" s="47"/>
      <c r="C164" s="49"/>
      <c r="D164" s="47"/>
      <c r="E164" s="49"/>
      <c r="F164" s="49"/>
      <c r="G164" s="49"/>
      <c r="H164" s="50"/>
      <c r="I164" s="50"/>
      <c r="J164" s="49"/>
      <c r="K164" s="49"/>
      <c r="L164" s="49"/>
      <c r="M164" s="51"/>
      <c r="N164" s="49"/>
    </row>
    <row r="165" spans="1:14" ht="150" customHeight="1" x14ac:dyDescent="0.25">
      <c r="A165" s="49"/>
      <c r="B165" s="47"/>
      <c r="C165" s="49"/>
      <c r="D165" s="47"/>
      <c r="E165" s="49"/>
      <c r="F165" s="49"/>
      <c r="G165" s="49"/>
      <c r="H165" s="50"/>
      <c r="I165" s="50"/>
      <c r="J165" s="49"/>
      <c r="K165" s="49"/>
      <c r="L165" s="49"/>
      <c r="M165" s="51"/>
      <c r="N165" s="49"/>
    </row>
    <row r="166" spans="1:14" ht="150" customHeight="1" x14ac:dyDescent="0.25">
      <c r="A166" s="49"/>
      <c r="B166" s="47"/>
      <c r="C166" s="49"/>
      <c r="D166" s="47"/>
      <c r="E166" s="49"/>
      <c r="F166" s="49"/>
      <c r="G166" s="49"/>
      <c r="H166" s="50"/>
      <c r="I166" s="50"/>
      <c r="J166" s="49"/>
      <c r="K166" s="49"/>
      <c r="L166" s="49"/>
      <c r="M166" s="51"/>
      <c r="N166" s="49"/>
    </row>
    <row r="167" spans="1:14" ht="150" customHeight="1" x14ac:dyDescent="0.25">
      <c r="A167" s="49"/>
      <c r="B167" s="47"/>
      <c r="C167" s="49"/>
      <c r="D167" s="47"/>
      <c r="E167" s="49"/>
      <c r="F167" s="49"/>
      <c r="G167" s="49"/>
      <c r="H167" s="50"/>
      <c r="I167" s="50"/>
      <c r="J167" s="49"/>
      <c r="K167" s="49"/>
      <c r="L167" s="49"/>
      <c r="M167" s="51"/>
      <c r="N167" s="49"/>
    </row>
    <row r="168" spans="1:14" ht="150" customHeight="1" x14ac:dyDescent="0.25">
      <c r="A168" s="49"/>
      <c r="B168" s="47"/>
      <c r="C168" s="49"/>
      <c r="D168" s="47"/>
      <c r="E168" s="49"/>
      <c r="F168" s="49"/>
      <c r="G168" s="49"/>
      <c r="H168" s="50"/>
      <c r="I168" s="50"/>
      <c r="J168" s="49"/>
      <c r="K168" s="49"/>
      <c r="L168" s="49"/>
      <c r="M168" s="51"/>
      <c r="N168" s="49"/>
    </row>
    <row r="169" spans="1:14" ht="150" customHeight="1" x14ac:dyDescent="0.25">
      <c r="A169" s="49"/>
      <c r="B169" s="47"/>
      <c r="C169" s="49"/>
      <c r="D169" s="47"/>
      <c r="E169" s="49"/>
      <c r="F169" s="49"/>
      <c r="G169" s="49"/>
      <c r="H169" s="50"/>
      <c r="I169" s="50"/>
      <c r="J169" s="49"/>
      <c r="K169" s="49"/>
      <c r="L169" s="49"/>
      <c r="M169" s="51"/>
      <c r="N169" s="49"/>
    </row>
    <row r="170" spans="1:14" ht="150" customHeight="1" x14ac:dyDescent="0.25">
      <c r="A170" s="49"/>
      <c r="B170" s="47"/>
      <c r="C170" s="49"/>
      <c r="D170" s="47"/>
      <c r="E170" s="49"/>
      <c r="F170" s="49"/>
      <c r="G170" s="49"/>
      <c r="H170" s="50"/>
      <c r="I170" s="50"/>
      <c r="J170" s="49"/>
      <c r="K170" s="49"/>
      <c r="L170" s="49"/>
      <c r="M170" s="51"/>
      <c r="N170" s="49"/>
    </row>
    <row r="171" spans="1:14" ht="150" customHeight="1" x14ac:dyDescent="0.25">
      <c r="A171" s="49"/>
      <c r="B171" s="47"/>
      <c r="C171" s="49"/>
      <c r="D171" s="47"/>
      <c r="E171" s="49"/>
      <c r="F171" s="49"/>
      <c r="G171" s="49"/>
      <c r="H171" s="50"/>
      <c r="I171" s="50"/>
      <c r="J171" s="49"/>
      <c r="K171" s="49"/>
      <c r="L171" s="49"/>
      <c r="M171" s="51"/>
      <c r="N171" s="49"/>
    </row>
    <row r="172" spans="1:14" ht="150" customHeight="1" x14ac:dyDescent="0.25">
      <c r="A172" s="49"/>
      <c r="B172" s="47"/>
      <c r="C172" s="49"/>
      <c r="D172" s="47"/>
      <c r="E172" s="49"/>
      <c r="F172" s="49"/>
      <c r="G172" s="49"/>
      <c r="H172" s="50"/>
      <c r="I172" s="50"/>
      <c r="J172" s="49"/>
      <c r="K172" s="49"/>
      <c r="L172" s="49"/>
      <c r="M172" s="51"/>
      <c r="N172" s="49"/>
    </row>
    <row r="173" spans="1:14" ht="150" customHeight="1" x14ac:dyDescent="0.25">
      <c r="A173" s="49"/>
      <c r="B173" s="47"/>
      <c r="C173" s="49"/>
      <c r="D173" s="47"/>
      <c r="E173" s="49"/>
      <c r="F173" s="49"/>
      <c r="G173" s="49"/>
      <c r="H173" s="50"/>
      <c r="I173" s="50"/>
      <c r="J173" s="49"/>
      <c r="K173" s="49"/>
      <c r="L173" s="49"/>
      <c r="M173" s="51"/>
      <c r="N173" s="49"/>
    </row>
    <row r="174" spans="1:14" ht="150" customHeight="1" x14ac:dyDescent="0.25">
      <c r="A174" s="49"/>
      <c r="B174" s="47"/>
      <c r="C174" s="49"/>
      <c r="D174" s="47"/>
      <c r="E174" s="49"/>
      <c r="F174" s="49"/>
      <c r="G174" s="49"/>
      <c r="H174" s="50"/>
      <c r="I174" s="50"/>
      <c r="J174" s="49"/>
      <c r="K174" s="49"/>
      <c r="L174" s="49"/>
      <c r="M174" s="51"/>
      <c r="N174" s="49"/>
    </row>
    <row r="175" spans="1:14" ht="150" customHeight="1" x14ac:dyDescent="0.25">
      <c r="A175" s="49"/>
      <c r="B175" s="47"/>
      <c r="C175" s="49"/>
      <c r="D175" s="47"/>
      <c r="E175" s="49"/>
      <c r="F175" s="49"/>
      <c r="G175" s="49"/>
      <c r="H175" s="50"/>
      <c r="I175" s="50"/>
      <c r="J175" s="49"/>
      <c r="K175" s="49"/>
      <c r="L175" s="49"/>
      <c r="M175" s="51"/>
      <c r="N175" s="49"/>
    </row>
    <row r="176" spans="1:14" ht="150" customHeight="1" x14ac:dyDescent="0.25">
      <c r="A176" s="49"/>
      <c r="B176" s="47"/>
      <c r="C176" s="49"/>
      <c r="D176" s="47"/>
      <c r="E176" s="49"/>
      <c r="F176" s="49"/>
      <c r="G176" s="49"/>
      <c r="H176" s="50"/>
      <c r="I176" s="50"/>
      <c r="J176" s="49"/>
      <c r="K176" s="49"/>
      <c r="L176" s="49"/>
      <c r="M176" s="51"/>
      <c r="N176" s="49"/>
    </row>
    <row r="177" spans="1:14" ht="150" customHeight="1" x14ac:dyDescent="0.25">
      <c r="A177" s="49"/>
      <c r="B177" s="47"/>
      <c r="C177" s="49"/>
      <c r="D177" s="47"/>
      <c r="E177" s="49"/>
      <c r="F177" s="49"/>
      <c r="G177" s="49"/>
      <c r="H177" s="50"/>
      <c r="I177" s="50"/>
      <c r="J177" s="49"/>
      <c r="K177" s="49"/>
      <c r="L177" s="49"/>
      <c r="M177" s="51"/>
      <c r="N177" s="49"/>
    </row>
    <row r="178" spans="1:14" ht="150" customHeight="1" x14ac:dyDescent="0.25">
      <c r="A178" s="49"/>
      <c r="B178" s="47"/>
      <c r="C178" s="49"/>
      <c r="D178" s="47"/>
      <c r="E178" s="49"/>
      <c r="F178" s="49"/>
      <c r="G178" s="49"/>
      <c r="H178" s="50"/>
      <c r="I178" s="50"/>
      <c r="J178" s="49"/>
      <c r="K178" s="49"/>
      <c r="L178" s="49"/>
      <c r="M178" s="51"/>
      <c r="N178" s="49"/>
    </row>
    <row r="179" spans="1:14" ht="150" customHeight="1" x14ac:dyDescent="0.25">
      <c r="A179" s="49"/>
      <c r="B179" s="47"/>
      <c r="C179" s="49"/>
      <c r="D179" s="47"/>
      <c r="E179" s="49"/>
      <c r="F179" s="49"/>
      <c r="G179" s="49"/>
      <c r="H179" s="50"/>
      <c r="I179" s="50"/>
      <c r="J179" s="49"/>
      <c r="K179" s="49"/>
      <c r="L179" s="49"/>
      <c r="M179" s="51"/>
      <c r="N179" s="49"/>
    </row>
    <row r="180" spans="1:14" ht="150" customHeight="1" x14ac:dyDescent="0.25">
      <c r="A180" s="49"/>
      <c r="B180" s="47"/>
      <c r="C180" s="49"/>
      <c r="D180" s="47"/>
      <c r="E180" s="49"/>
      <c r="F180" s="49"/>
      <c r="G180" s="49"/>
      <c r="H180" s="50"/>
      <c r="I180" s="50"/>
      <c r="J180" s="49"/>
      <c r="K180" s="49"/>
      <c r="L180" s="49"/>
      <c r="M180" s="51"/>
      <c r="N180" s="49"/>
    </row>
    <row r="181" spans="1:14" ht="150" customHeight="1" x14ac:dyDescent="0.25">
      <c r="A181" s="49"/>
      <c r="B181" s="47"/>
      <c r="C181" s="49"/>
      <c r="D181" s="47"/>
      <c r="E181" s="49"/>
      <c r="F181" s="49"/>
      <c r="G181" s="49"/>
      <c r="H181" s="50"/>
      <c r="I181" s="50"/>
      <c r="J181" s="49"/>
      <c r="K181" s="49"/>
      <c r="L181" s="49"/>
      <c r="M181" s="51"/>
      <c r="N181" s="49"/>
    </row>
    <row r="182" spans="1:14" ht="150" customHeight="1" x14ac:dyDescent="0.25">
      <c r="A182" s="49"/>
      <c r="B182" s="47"/>
      <c r="C182" s="49"/>
      <c r="D182" s="47"/>
      <c r="E182" s="49"/>
      <c r="F182" s="49"/>
      <c r="G182" s="49"/>
      <c r="H182" s="50"/>
      <c r="I182" s="50"/>
      <c r="J182" s="49"/>
      <c r="K182" s="49"/>
      <c r="L182" s="49"/>
      <c r="M182" s="51"/>
      <c r="N182" s="49"/>
    </row>
    <row r="183" spans="1:14" ht="150" customHeight="1" x14ac:dyDescent="0.25">
      <c r="A183" s="49"/>
      <c r="B183" s="47"/>
      <c r="C183" s="49"/>
      <c r="D183" s="47"/>
      <c r="E183" s="49"/>
      <c r="F183" s="49"/>
      <c r="G183" s="49"/>
      <c r="H183" s="50"/>
      <c r="I183" s="50"/>
      <c r="J183" s="49"/>
      <c r="K183" s="49"/>
      <c r="L183" s="49"/>
      <c r="M183" s="51"/>
      <c r="N183" s="49"/>
    </row>
    <row r="184" spans="1:14" ht="150" customHeight="1" x14ac:dyDescent="0.25">
      <c r="A184" s="49"/>
      <c r="B184" s="47"/>
      <c r="C184" s="49"/>
      <c r="D184" s="47"/>
      <c r="E184" s="49"/>
      <c r="F184" s="49"/>
      <c r="G184" s="49"/>
      <c r="H184" s="50"/>
      <c r="I184" s="50"/>
      <c r="J184" s="49"/>
      <c r="K184" s="49"/>
      <c r="L184" s="49"/>
      <c r="M184" s="51"/>
      <c r="N184" s="49"/>
    </row>
    <row r="185" spans="1:14" ht="150" customHeight="1" x14ac:dyDescent="0.25">
      <c r="A185" s="49"/>
      <c r="B185" s="47"/>
      <c r="C185" s="49"/>
      <c r="D185" s="47"/>
      <c r="E185" s="49"/>
      <c r="F185" s="49"/>
      <c r="G185" s="49"/>
      <c r="H185" s="50"/>
      <c r="I185" s="50"/>
      <c r="J185" s="49"/>
      <c r="K185" s="49"/>
      <c r="L185" s="49"/>
      <c r="M185" s="51"/>
      <c r="N185" s="49"/>
    </row>
    <row r="186" spans="1:14" ht="150" customHeight="1" x14ac:dyDescent="0.25">
      <c r="A186" s="49"/>
      <c r="B186" s="47"/>
      <c r="C186" s="49"/>
      <c r="D186" s="47"/>
      <c r="E186" s="49"/>
      <c r="F186" s="49"/>
      <c r="G186" s="49"/>
      <c r="H186" s="50"/>
      <c r="I186" s="50"/>
      <c r="J186" s="49"/>
      <c r="K186" s="49"/>
      <c r="L186" s="49"/>
      <c r="M186" s="51"/>
      <c r="N186" s="49"/>
    </row>
    <row r="187" spans="1:14" ht="150" customHeight="1" x14ac:dyDescent="0.25">
      <c r="A187" s="49"/>
      <c r="B187" s="47"/>
      <c r="C187" s="49"/>
      <c r="D187" s="47"/>
      <c r="E187" s="49"/>
      <c r="F187" s="49"/>
      <c r="G187" s="49"/>
      <c r="H187" s="50"/>
      <c r="I187" s="50"/>
      <c r="J187" s="49"/>
      <c r="K187" s="49"/>
      <c r="L187" s="49"/>
      <c r="M187" s="51"/>
      <c r="N187" s="49"/>
    </row>
    <row r="188" spans="1:14" ht="150" customHeight="1" x14ac:dyDescent="0.25">
      <c r="A188" s="49"/>
      <c r="B188" s="47"/>
      <c r="C188" s="49"/>
      <c r="D188" s="47"/>
      <c r="E188" s="49"/>
      <c r="F188" s="49"/>
      <c r="G188" s="49"/>
      <c r="H188" s="50"/>
      <c r="I188" s="50"/>
      <c r="J188" s="49"/>
      <c r="K188" s="49"/>
      <c r="L188" s="49"/>
      <c r="M188" s="51"/>
      <c r="N188" s="49"/>
    </row>
    <row r="189" spans="1:14" ht="150" customHeight="1" x14ac:dyDescent="0.25">
      <c r="A189" s="49"/>
      <c r="B189" s="47"/>
      <c r="C189" s="49"/>
      <c r="D189" s="47"/>
      <c r="E189" s="49"/>
      <c r="F189" s="49"/>
      <c r="G189" s="49"/>
      <c r="H189" s="50"/>
      <c r="I189" s="50"/>
      <c r="J189" s="49"/>
      <c r="K189" s="49"/>
      <c r="L189" s="49"/>
      <c r="M189" s="51"/>
      <c r="N189" s="49"/>
    </row>
    <row r="190" spans="1:14" ht="150" customHeight="1" x14ac:dyDescent="0.25">
      <c r="A190" s="49"/>
      <c r="B190" s="47"/>
      <c r="C190" s="49"/>
      <c r="D190" s="47"/>
      <c r="E190" s="49"/>
      <c r="F190" s="49"/>
      <c r="G190" s="49"/>
      <c r="H190" s="50"/>
      <c r="I190" s="50"/>
      <c r="J190" s="49"/>
      <c r="K190" s="49"/>
      <c r="L190" s="49"/>
      <c r="M190" s="51"/>
      <c r="N190" s="49"/>
    </row>
    <row r="191" spans="1:14" ht="150" customHeight="1" x14ac:dyDescent="0.25">
      <c r="A191" s="49"/>
      <c r="B191" s="47"/>
      <c r="C191" s="49"/>
      <c r="D191" s="47"/>
      <c r="E191" s="49"/>
      <c r="F191" s="49"/>
      <c r="G191" s="49"/>
      <c r="H191" s="50"/>
      <c r="I191" s="50"/>
      <c r="J191" s="49"/>
      <c r="K191" s="49"/>
      <c r="L191" s="49"/>
      <c r="M191" s="51"/>
      <c r="N191" s="49"/>
    </row>
    <row r="192" spans="1:14" ht="150" customHeight="1" x14ac:dyDescent="0.25">
      <c r="A192" s="49"/>
      <c r="B192" s="47"/>
      <c r="C192" s="49"/>
      <c r="D192" s="47"/>
      <c r="E192" s="49"/>
      <c r="F192" s="49"/>
      <c r="G192" s="49"/>
      <c r="H192" s="50"/>
      <c r="I192" s="50"/>
      <c r="J192" s="49"/>
      <c r="K192" s="49"/>
      <c r="L192" s="49"/>
      <c r="M192" s="51"/>
      <c r="N192" s="49"/>
    </row>
    <row r="193" spans="1:14" ht="150" customHeight="1" x14ac:dyDescent="0.25">
      <c r="A193" s="49"/>
      <c r="B193" s="47"/>
      <c r="C193" s="49"/>
      <c r="D193" s="47"/>
      <c r="E193" s="49"/>
      <c r="F193" s="49"/>
      <c r="G193" s="49"/>
      <c r="H193" s="50"/>
      <c r="I193" s="50"/>
      <c r="J193" s="49"/>
      <c r="K193" s="49"/>
      <c r="L193" s="49"/>
      <c r="M193" s="51"/>
      <c r="N193" s="49"/>
    </row>
    <row r="194" spans="1:14" ht="150" customHeight="1" x14ac:dyDescent="0.25">
      <c r="A194" s="49"/>
      <c r="B194" s="47"/>
      <c r="C194" s="49"/>
      <c r="D194" s="47"/>
      <c r="E194" s="49"/>
      <c r="F194" s="49"/>
      <c r="G194" s="49"/>
      <c r="H194" s="50"/>
      <c r="I194" s="50"/>
      <c r="J194" s="49"/>
      <c r="K194" s="49"/>
      <c r="L194" s="49"/>
      <c r="M194" s="51"/>
      <c r="N194" s="49"/>
    </row>
    <row r="195" spans="1:14" ht="150" customHeight="1" x14ac:dyDescent="0.25">
      <c r="A195" s="49"/>
      <c r="B195" s="47"/>
      <c r="C195" s="49"/>
      <c r="D195" s="47"/>
      <c r="E195" s="49"/>
      <c r="F195" s="49"/>
      <c r="G195" s="49"/>
      <c r="H195" s="50"/>
      <c r="I195" s="50"/>
      <c r="J195" s="49"/>
      <c r="K195" s="49"/>
      <c r="L195" s="49"/>
      <c r="M195" s="51"/>
      <c r="N195" s="49"/>
    </row>
    <row r="196" spans="1:14" ht="150" customHeight="1" x14ac:dyDescent="0.25">
      <c r="A196" s="49"/>
      <c r="B196" s="47"/>
      <c r="C196" s="49"/>
      <c r="D196" s="47"/>
      <c r="E196" s="49"/>
      <c r="F196" s="49"/>
      <c r="G196" s="49"/>
      <c r="H196" s="50"/>
      <c r="I196" s="50"/>
      <c r="J196" s="49"/>
      <c r="K196" s="49"/>
      <c r="L196" s="49"/>
      <c r="M196" s="51"/>
      <c r="N196" s="49"/>
    </row>
    <row r="197" spans="1:14" ht="150" customHeight="1" x14ac:dyDescent="0.25">
      <c r="A197" s="49"/>
      <c r="B197" s="47"/>
      <c r="C197" s="49"/>
      <c r="D197" s="47"/>
      <c r="E197" s="49"/>
      <c r="F197" s="49"/>
      <c r="G197" s="49"/>
      <c r="H197" s="50"/>
      <c r="I197" s="50"/>
      <c r="J197" s="49"/>
      <c r="K197" s="49"/>
      <c r="L197" s="49"/>
      <c r="M197" s="51"/>
      <c r="N197" s="49"/>
    </row>
    <row r="198" spans="1:14" ht="150" customHeight="1" x14ac:dyDescent="0.25">
      <c r="A198" s="49"/>
      <c r="B198" s="47"/>
      <c r="C198" s="49"/>
      <c r="D198" s="47"/>
      <c r="E198" s="49"/>
      <c r="F198" s="49"/>
      <c r="G198" s="49"/>
      <c r="H198" s="50"/>
      <c r="I198" s="50"/>
      <c r="J198" s="49"/>
      <c r="K198" s="49"/>
      <c r="L198" s="49"/>
      <c r="M198" s="51"/>
      <c r="N198" s="49"/>
    </row>
    <row r="199" spans="1:14" ht="150" customHeight="1" x14ac:dyDescent="0.25">
      <c r="A199" s="49"/>
      <c r="B199" s="47"/>
      <c r="C199" s="49"/>
      <c r="D199" s="47"/>
      <c r="E199" s="49"/>
      <c r="F199" s="49"/>
      <c r="G199" s="49"/>
      <c r="H199" s="50"/>
      <c r="I199" s="50"/>
      <c r="J199" s="49"/>
      <c r="K199" s="49"/>
      <c r="L199" s="49"/>
      <c r="M199" s="51"/>
      <c r="N199" s="49"/>
    </row>
    <row r="200" spans="1:14" ht="150" customHeight="1" x14ac:dyDescent="0.25">
      <c r="A200" s="49"/>
      <c r="B200" s="47"/>
      <c r="C200" s="49"/>
      <c r="D200" s="47"/>
      <c r="E200" s="49"/>
      <c r="F200" s="49"/>
      <c r="G200" s="49"/>
      <c r="H200" s="50"/>
      <c r="I200" s="50"/>
      <c r="J200" s="49"/>
      <c r="K200" s="49"/>
      <c r="L200" s="49"/>
      <c r="M200" s="51"/>
      <c r="N200" s="49"/>
    </row>
  </sheetData>
  <mergeCells count="3">
    <mergeCell ref="A1:L1"/>
    <mergeCell ref="M1:N1"/>
    <mergeCell ref="A2:N2"/>
  </mergeCells>
  <pageMargins left="0.7" right="0.7" top="0.75" bottom="0.75" header="0.3" footer="0.3"/>
  <pageSetup paperSize="3" scale="54" fitToHeight="0" orientation="landscape" r:id="rId1"/>
  <headerFooter>
    <oddFooter>&amp;R&amp;A
&amp;F&amp;C&amp;"Calibri"&amp;11 Sheet &amp;P of &amp;N_x000D_&amp;1#&amp;"Calibri"&amp;10 Schlumberger-Private</oddFooter>
  </headerFooter>
  <webPublishItems count="64">
    <webPublishItem id="27842" divId="EMR_to_SQL (Rev_1)_27842" sourceType="range" sourceRef="A1:N3" destinationFile="C:\Users\96015\Desktop\EMR_Report.html"/>
    <webPublishItem id="25906" divId="EMR_to_SQL (Rev_1)_25906" sourceType="range" sourceRef="A1:N3" destinationFile="C:\Users\96015\Desktop\EMR_Report.html"/>
    <webPublishItem id="29196" divId="EMR_to_SQL (Developer)_29196" sourceType="range" sourceRef="A1:N3" destinationFile="C:\Users\96015\Desktop\EMR_Report.html"/>
    <webPublishItem id="32357" divId="EMR_to_SQL (release_07022018)_32357" sourceType="range" sourceRef="A1:N3" destinationFile="C:\Users\Public\Documents\EMR_Report.html"/>
    <webPublishItem id="667" divId="EMR_to_SQL (release_07022018)_667" sourceType="range" sourceRef="A1:N3" destinationFile="C:\Users\Public\Documents\EMR_Report.html"/>
    <webPublishItem id="17624" divId="EMR_to_SQL (release_07022018)_17624" sourceType="range" sourceRef="A1:N3" destinationFile="C:\Users\Public\Documents\EMR_Report.html"/>
    <webPublishItem id="3583" divId="HCTC_EMR_DB_(07092018)_3583" sourceType="range" sourceRef="A1:N3" destinationFile="C:\Users\Public\Documents\EMR_Report.html"/>
    <webPublishItem id="32571" divId="HCTC_EMR_DB_(07112018)_32571" sourceType="range" sourceRef="A1:N3" destinationFile="C:\Users\Public\Documents\EMR_Report.html"/>
    <webPublishItem id="9105" divId="HCTC_EMR_DB_(07112018)_9105" sourceType="range" sourceRef="A1:N3" destinationFile="C:\Users\Public\Documents\EMR_Report.html"/>
    <webPublishItem id="10679" divId="EMR_DB_10679" sourceType="range" sourceRef="A1:N3" destinationFile="C:\Users\Public\Documents\EMR_Report.html"/>
    <webPublishItem id="16117" divId="EMR_to_SQL (Rev_1)_16117" sourceType="range" sourceRef="A1:N4" destinationFile="C:\Users\96015\Desktop\EMR_Report.html"/>
    <webPublishItem id="11904" divId="EMR_to_SQL (Rev_1)_11904" sourceType="range" sourceRef="A1:N4" destinationFile="C:\Users\96015\Desktop\EMR_Report.html"/>
    <webPublishItem id="22221" divId="EMR_to_SQL (Rev_1)_22221" sourceType="range" sourceRef="A1:N4" destinationFile="C:\Users\96015\Desktop\EMR_Report.html"/>
    <webPublishItem id="8513" divId="EMR_to_SQL (release_07022018)_8513" sourceType="range" sourceRef="A1:N4" destinationFile="C:\Users\Public\Documents\EMR_Report.html"/>
    <webPublishItem id="17993" divId="EMR_to_SQL (release_07022018)_17993" sourceType="range" sourceRef="A1:N4" destinationFile="C:\Users\Public\Documents\EMR_Report.html"/>
    <webPublishItem id="22244" divId="EMR_to_SQL (release_07022018)_22244" sourceType="range" sourceRef="A1:N4" destinationFile="C:\Users\Public\Documents\EMR_Report.html"/>
    <webPublishItem id="17518" divId="HCTC_EMR_DB_(07032018)_17518" sourceType="range" sourceRef="A1:N4" destinationFile="C:\Users\Public\Documents\EMR_Report.html"/>
    <webPublishItem id="24842" divId="HCTC_EMR_DB_(07092018)_24842" sourceType="range" sourceRef="A1:N4" destinationFile="C:\Users\Public\Documents\EMR_Report.html"/>
    <webPublishItem id="3919" divId="HCTC_EMR_DB_(07112018)_3919" sourceType="range" sourceRef="A1:N4" destinationFile="C:\Users\Public\Documents\EMR_Report.html"/>
    <webPublishItem id="1846" divId="HCTC_EMR_DB_(07112018)_1846" sourceType="range" sourceRef="A1:N4" destinationFile="C:\Users\Public\Documents\EMR_Report.html"/>
    <webPublishItem id="7032" divId="EMR_DB v1.1_7032" sourceType="range" sourceRef="A1:N4" destinationFile="C:\Users\Public\Documents\EMR_Report.html"/>
    <webPublishItem id="12147" divId="EMR_to_SQL (Rev_1)_12147" sourceType="range" sourceRef="A1:N5" destinationFile="C:\Users\96015\Desktop\EMR_Report.html"/>
    <webPublishItem id="7596" divId="HCTC_EMR_DB_(07112018)_7596" sourceType="range" sourceRef="A1:N5" destinationFile="C:\Users\Public\Documents\EMR_Report.html"/>
    <webPublishItem id="31721" divId="HCTC_EMR_DB_(07112018)_31721" sourceType="range" sourceRef="A1:N5" destinationFile="C:\Users\Public\Documents\EMR_Report.html"/>
    <webPublishItem id="4165" divId="HCTC_EMR_DB_(07112018)_4165" sourceType="range" sourceRef="A1:N5" destinationFile="C:\Users\Public\Documents\EMR_Report.html"/>
    <webPublishItem id="13700" divId="HCTC_EMR_DB_(07112018)_13700" sourceType="range" sourceRef="A1:N5" destinationFile="C:\Users\Public\Documents\EMR_Report.html"/>
    <webPublishItem id="31985" divId="HCTC_EMR_DB_(07112018)_31985" sourceType="range" sourceRef="A1:N5" destinationFile="C:\Users\Public\Documents\EMR_Report.html"/>
    <webPublishItem id="21346" divId="HCTC_EMR_DB_(07112018)_21346" sourceType="range" sourceRef="A1:N5" destinationFile="C:\Users\Public\Documents\EMR_Report.html"/>
    <webPublishItem id="7552" divId="EMR_DB_7552" sourceType="range" sourceRef="A1:N5" destinationFile="C:\Users\Public\Documents\EMR_Report.html"/>
    <webPublishItem id="8929" divId="EMR_DB_8929" sourceType="range" sourceRef="A1:N5" destinationFile="C:\Users\Public\Documents\EMR_Report.html"/>
    <webPublishItem id="995" divId="HCTC_EMR_DB_(07092018)_995" sourceType="range" sourceRef="A1:N6" destinationFile="C:\Users\Public\Documents\EMR_Report.html"/>
    <webPublishItem id="31931" divId="HCTC_EMR_DB_(07112018)_31931" sourceType="range" sourceRef="A1:N6" destinationFile="C:\Users\Public\Documents\EMR_Report.html"/>
    <webPublishItem id="2958" divId="HCTC_EMR_DB_(07112018)_2958" sourceType="range" sourceRef="A1:N6" destinationFile="C:\Users\Public\Documents\EMR_Report.html"/>
    <webPublishItem id="6048" divId="HCTC_EMR_DB_(07112018)_6048" sourceType="range" sourceRef="A1:N8" destinationFile="C:\Users\Public\Documents\EMR_Report.html"/>
    <webPublishItem id="26998" divId="HCTC_EMR_DB_(07092018)_26998" sourceType="range" sourceRef="A1:N9" destinationFile="C:\Users\Public\Documents\EMR_Report.html"/>
    <webPublishItem id="10929" divId="EMR_DB v1.1_10929" sourceType="range" sourceRef="A1:N9" destinationFile="C:\Users\Public\Documents\EMR_Report.html"/>
    <webPublishItem id="10800" divId="EMR_to_SQL (Rev_1)_10800" sourceType="range" sourceRef="A1:N10" destinationFile="C:\Users\96015\Desktop\EMR_Report.html"/>
    <webPublishItem id="25484" divId="HCTC_EMR_DB_(07112018)_25484" sourceType="range" sourceRef="A1:N10" destinationFile="C:\Users\Public\Documents\EMR_Report.html"/>
    <webPublishItem id="21620" divId="HCTC_EMR_DB_(07112018)_21620" sourceType="range" sourceRef="A1:N11" destinationFile="C:\Users\Public\Documents\EMR_Report.html"/>
    <webPublishItem id="28056" divId="HCTC_EMR_DB_(07112018)_28056" sourceType="range" sourceRef="A1:N11" destinationFile="C:\Users\Public\Documents\EMR_Report.html"/>
    <webPublishItem id="10486" divId="EMR_to_SQL (Rev_1)_10486" sourceType="range" sourceRef="A1:N12" destinationFile="C:\Users\96015\Desktop\EMR_Report.html"/>
    <webPublishItem id="15648" divId="EMR_to_SQL (Rev_1)_15648" sourceType="range" sourceRef="A1:N12" destinationFile="C:\Users\96015\Desktop\EMR_Report.html"/>
    <webPublishItem id="23372" divId="EMR_to_SQL (Rev_1)_23372" sourceType="range" sourceRef="A1:N12" destinationFile="C:\Users\96015\Desktop\EMR_Report.html"/>
    <webPublishItem id="28822" divId="EMR_to_SQL (Rev_1)_28822" sourceType="range" sourceRef="A1:N12" destinationFile="C:\Users\96015\Desktop\EMR_Report.html"/>
    <webPublishItem id="20033" divId="EMR_to_SQL (Rev_1)_20033" sourceType="range" sourceRef="A1:N12" destinationFile="C:\Users\96015\Desktop\EMR_Report.html"/>
    <webPublishItem id="12084" divId="HCTC_EMR_DB_(07112018)_12084" sourceType="range" sourceRef="A1:N12" destinationFile="C:\Users\Public\Documents\EMR_Report.html"/>
    <webPublishItem id="19348" divId="EMR_to_SQL (Rev_1)_19348" sourceType="range" sourceRef="A1:N14" destinationFile="C:\Users\96015\Desktop\EMR_Report.html"/>
    <webPublishItem id="27467" divId="EMR_to_SQL (Rev_1)_27467" sourceType="range" sourceRef="A1:N14" destinationFile="C:\Users\96015\Desktop\EMR_Report.html"/>
    <webPublishItem id="13575" divId="EMR_to_SQL (Rev_1)_13575" sourceType="range" sourceRef="A1:N16" destinationFile="C:\Users\96015\Desktop\EMR_Report.html"/>
    <webPublishItem id="18079" divId="HCTC_EMR_DB_(07112018)_18079" sourceType="range" sourceRef="A1:N17" destinationFile="C:\Users\Public\Documents\EMR_Report.html"/>
    <webPublishItem id="30548" divId="HCTC_EMR_DB_(07092018)_30548" sourceType="range" sourceRef="A1:N18" destinationFile="C:\Users\Public\Documents\EMR_Report.html"/>
    <webPublishItem id="6571" divId="HCTC_EMR_DB_(07112018)_6571" sourceType="range" sourceRef="A1:N18" destinationFile="C:\Users\Public\Documents\EMR_Report.html"/>
    <webPublishItem id="28942" divId="HCTC_EMR_DB_(07112018)_28942" sourceType="range" sourceRef="A1:N23" destinationFile="C:\Users\Public\Documents\EMR_Report.html"/>
    <webPublishItem id="6589" divId="HCTC_EMR_DB_(07112018)_6589" sourceType="range" sourceRef="A1:N23" destinationFile="C:\Users\Public\Documents\EMR_Report.html"/>
    <webPublishItem id="25078" divId="HCTC_EMR_DB_(07112018)_25078" sourceType="range" sourceRef="A1:N25" destinationFile="C:\Users\Public\Documents\EMR_Report.html"/>
    <webPublishItem id="9413" divId="HCTC_EMR_DB_(07112018)_9413" sourceType="range" sourceRef="A1:N25" destinationFile="C:\Users\Public\Documents\EMR_Report.html"/>
    <webPublishItem id="9029" divId="EMR_DB v1.1_9029" sourceType="range" sourceRef="A1:N25" destinationFile="C:\Users\Public\Documents\EMR_Report.html"/>
    <webPublishItem id="2216" divId="HCTC_EMR_DB_(07112018)_2216" sourceType="range" sourceRef="A1:N30" destinationFile="C:\Users\Public\Documents\EMR_Report.html"/>
    <webPublishItem id="20360" divId="EMR_DB v1.0_20360" sourceType="range" sourceRef="A1:N33" destinationFile="C:\Users\Public\Documents\EMR_Report.html"/>
    <webPublishItem id="24025" divId="EMR_to_SQL (release_07022018)_24025" sourceType="range" sourceRef="A1:N39" destinationFile="C:\Users\Public\Documents\EMR_Report.html"/>
    <webPublishItem id="30854" divId="HCTC_EMR_DB_(07112018)_30854" sourceType="range" sourceRef="A1:N139" destinationFile="C:\Users\Public\Documents\EMR_Report.html"/>
    <webPublishItem id="29722" divId="EMR_DB_29722" sourceType="range" sourceRef="A1:N151" destinationFile="C:\Users\Public\Documents\EMR_Report.html"/>
    <webPublishItem id="6215" divId="EMR_DB_6215" sourceType="range" sourceRef="A1:N151" destinationFile="C:\Users\Public\Documents\EMR_Report.html"/>
    <webPublishItem id="23392" divId="EMR_DB_23392" sourceType="range" sourceRef="A1:N151" destinationFile="C:\Users\Public\Documents\EMR_Report.html"/>
  </webPublishItem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3">
    <pageSetUpPr fitToPage="1"/>
  </sheetPr>
  <dimension ref="A1:T200"/>
  <sheetViews>
    <sheetView zoomScale="70" zoomScaleNormal="70" workbookViewId="0">
      <selection activeCell="A4" sqref="A4:N200"/>
    </sheetView>
  </sheetViews>
  <sheetFormatPr defaultRowHeight="15" x14ac:dyDescent="0.25"/>
  <cols>
    <col min="1" max="1" width="14.28515625" style="1" customWidth="1"/>
    <col min="2" max="2" width="19.7109375" style="48" customWidth="1"/>
    <col min="3" max="3" width="17.7109375" style="1" customWidth="1"/>
    <col min="4" max="4" width="26.28515625" style="48" customWidth="1"/>
    <col min="5" max="5" width="21" style="7" customWidth="1"/>
    <col min="6" max="6" width="21.28515625" style="1" customWidth="1"/>
    <col min="7" max="7" width="20.5703125" style="1" customWidth="1"/>
    <col min="8" max="8" width="20.140625" style="5" customWidth="1"/>
    <col min="9" max="9" width="48.5703125" style="121" customWidth="1"/>
    <col min="10" max="10" width="22.28515625" style="89" customWidth="1"/>
    <col min="11" max="11" width="24.5703125" style="89" customWidth="1"/>
    <col min="12" max="12" width="23.5703125" style="89" customWidth="1"/>
    <col min="13" max="13" width="17.140625" style="124" customWidth="1"/>
    <col min="14" max="14" width="26.5703125" style="89" customWidth="1"/>
    <col min="15" max="16384" width="9.140625" style="3"/>
  </cols>
  <sheetData>
    <row r="1" spans="1:20" ht="46.5" x14ac:dyDescent="0.25">
      <c r="A1" s="177" t="s">
        <v>113</v>
      </c>
      <c r="B1" s="177"/>
      <c r="C1" s="177"/>
      <c r="D1" s="177"/>
      <c r="E1" s="177"/>
      <c r="F1" s="177"/>
      <c r="G1" s="177"/>
      <c r="H1" s="177"/>
      <c r="I1" s="177"/>
      <c r="J1" s="177"/>
      <c r="K1" s="177"/>
      <c r="L1" s="177"/>
      <c r="M1" s="178">
        <v>43469</v>
      </c>
      <c r="N1" s="178"/>
    </row>
    <row r="2" spans="1:20" ht="26.25" x14ac:dyDescent="0.25">
      <c r="A2" s="179" t="s">
        <v>1854</v>
      </c>
      <c r="B2" s="179"/>
      <c r="C2" s="179"/>
      <c r="D2" s="179"/>
      <c r="E2" s="179"/>
      <c r="F2" s="179"/>
      <c r="G2" s="179"/>
      <c r="H2" s="179"/>
      <c r="I2" s="179"/>
      <c r="J2" s="179"/>
      <c r="K2" s="179"/>
      <c r="L2" s="179"/>
      <c r="M2" s="179"/>
      <c r="N2" s="179"/>
    </row>
    <row r="3" spans="1:20" s="70" customFormat="1" ht="37.5" x14ac:dyDescent="0.3">
      <c r="A3" s="69" t="s">
        <v>881</v>
      </c>
      <c r="B3" s="69" t="s">
        <v>960</v>
      </c>
      <c r="C3" s="69" t="s">
        <v>961</v>
      </c>
      <c r="D3" s="69" t="s">
        <v>889</v>
      </c>
      <c r="E3" s="69" t="s">
        <v>933</v>
      </c>
      <c r="F3" s="69" t="s">
        <v>899</v>
      </c>
      <c r="G3" s="69" t="s">
        <v>900</v>
      </c>
      <c r="H3" s="69" t="s">
        <v>901</v>
      </c>
      <c r="I3" s="69" t="s">
        <v>883</v>
      </c>
      <c r="J3" s="183" t="s">
        <v>896</v>
      </c>
      <c r="K3" s="184"/>
      <c r="L3" s="184"/>
      <c r="M3" s="184"/>
      <c r="N3" s="185"/>
    </row>
    <row r="4" spans="1:20" ht="150" customHeight="1" x14ac:dyDescent="0.25">
      <c r="A4" s="49" t="s">
        <v>1043</v>
      </c>
      <c r="B4" s="71">
        <v>43292</v>
      </c>
      <c r="C4" s="49" t="s">
        <v>17</v>
      </c>
      <c r="D4" s="71" t="s">
        <v>113</v>
      </c>
      <c r="E4" s="71" t="s">
        <v>75</v>
      </c>
      <c r="F4" s="47"/>
      <c r="G4" s="47"/>
      <c r="H4" s="71"/>
      <c r="I4" s="120" t="s">
        <v>1044</v>
      </c>
      <c r="J4" s="180" t="s">
        <v>1855</v>
      </c>
      <c r="K4" s="181"/>
      <c r="L4" s="181"/>
      <c r="M4" s="181"/>
      <c r="N4" s="182"/>
      <c r="T4" s="60"/>
    </row>
    <row r="5" spans="1:20" ht="150" customHeight="1" x14ac:dyDescent="0.25">
      <c r="A5" s="49" t="s">
        <v>1088</v>
      </c>
      <c r="B5" s="71">
        <v>43313</v>
      </c>
      <c r="C5" s="49" t="s">
        <v>17</v>
      </c>
      <c r="D5" s="71" t="s">
        <v>113</v>
      </c>
      <c r="E5" s="71" t="s">
        <v>75</v>
      </c>
      <c r="F5" s="47"/>
      <c r="G5" s="49"/>
      <c r="H5" s="62"/>
      <c r="I5" s="120" t="s">
        <v>1089</v>
      </c>
      <c r="J5" s="180" t="s">
        <v>1856</v>
      </c>
      <c r="K5" s="181"/>
      <c r="L5" s="181"/>
      <c r="M5" s="181"/>
      <c r="N5" s="182"/>
    </row>
    <row r="6" spans="1:20" ht="150" customHeight="1" x14ac:dyDescent="0.25">
      <c r="A6" s="49" t="s">
        <v>1088</v>
      </c>
      <c r="B6" s="71">
        <v>43313</v>
      </c>
      <c r="C6" s="49" t="s">
        <v>17</v>
      </c>
      <c r="D6" s="71" t="s">
        <v>113</v>
      </c>
      <c r="E6" s="71" t="s">
        <v>75</v>
      </c>
      <c r="F6" s="47"/>
      <c r="G6" s="49"/>
      <c r="H6" s="62"/>
      <c r="I6" s="120" t="s">
        <v>1089</v>
      </c>
      <c r="J6" s="180" t="s">
        <v>1857</v>
      </c>
      <c r="K6" s="181"/>
      <c r="L6" s="181"/>
      <c r="M6" s="181"/>
      <c r="N6" s="182"/>
    </row>
    <row r="7" spans="1:20" ht="150" customHeight="1" x14ac:dyDescent="0.25">
      <c r="A7" s="49" t="s">
        <v>1088</v>
      </c>
      <c r="B7" s="71">
        <v>43313</v>
      </c>
      <c r="C7" s="49" t="s">
        <v>17</v>
      </c>
      <c r="D7" s="71" t="s">
        <v>113</v>
      </c>
      <c r="E7" s="71" t="s">
        <v>75</v>
      </c>
      <c r="F7" s="47"/>
      <c r="G7" s="49"/>
      <c r="H7" s="62"/>
      <c r="I7" s="120" t="s">
        <v>1089</v>
      </c>
      <c r="J7" s="180" t="s">
        <v>1858</v>
      </c>
      <c r="K7" s="181"/>
      <c r="L7" s="181"/>
      <c r="M7" s="181"/>
      <c r="N7" s="182"/>
    </row>
    <row r="8" spans="1:20" ht="150" customHeight="1" x14ac:dyDescent="0.25">
      <c r="A8" s="49" t="s">
        <v>1088</v>
      </c>
      <c r="B8" s="71">
        <v>43313</v>
      </c>
      <c r="C8" s="49" t="s">
        <v>17</v>
      </c>
      <c r="D8" s="71" t="s">
        <v>113</v>
      </c>
      <c r="E8" s="71" t="s">
        <v>75</v>
      </c>
      <c r="F8" s="47"/>
      <c r="G8" s="49"/>
      <c r="H8" s="62"/>
      <c r="I8" s="120" t="s">
        <v>1089</v>
      </c>
      <c r="J8" s="180" t="s">
        <v>1091</v>
      </c>
      <c r="K8" s="181"/>
      <c r="L8" s="181"/>
      <c r="M8" s="181"/>
      <c r="N8" s="182"/>
    </row>
    <row r="9" spans="1:20" ht="150" customHeight="1" x14ac:dyDescent="0.25">
      <c r="A9" s="49" t="s">
        <v>1043</v>
      </c>
      <c r="B9" s="71">
        <v>43320</v>
      </c>
      <c r="C9" s="49" t="s">
        <v>17</v>
      </c>
      <c r="D9" s="71" t="s">
        <v>113</v>
      </c>
      <c r="E9" s="71" t="s">
        <v>75</v>
      </c>
      <c r="F9" s="47"/>
      <c r="G9" s="49"/>
      <c r="H9" s="62"/>
      <c r="I9" s="120" t="s">
        <v>1044</v>
      </c>
      <c r="J9" s="180" t="s">
        <v>1128</v>
      </c>
      <c r="K9" s="181"/>
      <c r="L9" s="181"/>
      <c r="M9" s="181"/>
      <c r="N9" s="182"/>
    </row>
    <row r="10" spans="1:20" ht="150" customHeight="1" x14ac:dyDescent="0.25">
      <c r="A10" s="49" t="s">
        <v>1129</v>
      </c>
      <c r="B10" s="71">
        <v>43321</v>
      </c>
      <c r="C10" s="49" t="s">
        <v>17</v>
      </c>
      <c r="D10" s="71" t="s">
        <v>113</v>
      </c>
      <c r="E10" s="71" t="s">
        <v>75</v>
      </c>
      <c r="F10" s="47"/>
      <c r="G10" s="49"/>
      <c r="H10" s="62"/>
      <c r="I10" s="120" t="s">
        <v>1130</v>
      </c>
      <c r="J10" s="180" t="s">
        <v>1859</v>
      </c>
      <c r="K10" s="181"/>
      <c r="L10" s="181"/>
      <c r="M10" s="181"/>
      <c r="N10" s="182"/>
    </row>
    <row r="11" spans="1:20" ht="150" customHeight="1" x14ac:dyDescent="0.25">
      <c r="A11" s="49" t="s">
        <v>1129</v>
      </c>
      <c r="B11" s="71">
        <v>43322</v>
      </c>
      <c r="C11" s="49" t="s">
        <v>17</v>
      </c>
      <c r="D11" s="71" t="s">
        <v>113</v>
      </c>
      <c r="E11" s="71" t="s">
        <v>75</v>
      </c>
      <c r="F11" s="47"/>
      <c r="G11" s="49"/>
      <c r="H11" s="62"/>
      <c r="I11" s="120" t="s">
        <v>1130</v>
      </c>
      <c r="J11" s="180" t="s">
        <v>1860</v>
      </c>
      <c r="K11" s="181"/>
      <c r="L11" s="181"/>
      <c r="M11" s="181"/>
      <c r="N11" s="182"/>
    </row>
    <row r="12" spans="1:20" ht="150" customHeight="1" x14ac:dyDescent="0.25">
      <c r="A12" s="49" t="s">
        <v>1129</v>
      </c>
      <c r="B12" s="71">
        <v>43326</v>
      </c>
      <c r="C12" s="49" t="s">
        <v>17</v>
      </c>
      <c r="D12" s="71" t="s">
        <v>113</v>
      </c>
      <c r="E12" s="71" t="s">
        <v>75</v>
      </c>
      <c r="F12" s="47"/>
      <c r="G12" s="49"/>
      <c r="H12" s="62"/>
      <c r="I12" s="120" t="s">
        <v>1130</v>
      </c>
      <c r="J12" s="180" t="s">
        <v>1861</v>
      </c>
      <c r="K12" s="181"/>
      <c r="L12" s="181"/>
      <c r="M12" s="181"/>
      <c r="N12" s="182"/>
    </row>
    <row r="13" spans="1:20" ht="150" customHeight="1" x14ac:dyDescent="0.25">
      <c r="A13" s="49" t="s">
        <v>1129</v>
      </c>
      <c r="B13" s="71">
        <v>43341</v>
      </c>
      <c r="C13" s="49" t="s">
        <v>441</v>
      </c>
      <c r="D13" s="71" t="s">
        <v>113</v>
      </c>
      <c r="E13" s="71" t="s">
        <v>75</v>
      </c>
      <c r="F13" s="47"/>
      <c r="G13" s="49"/>
      <c r="H13" s="62"/>
      <c r="I13" s="120" t="s">
        <v>1130</v>
      </c>
      <c r="J13" s="180" t="s">
        <v>1192</v>
      </c>
      <c r="K13" s="181"/>
      <c r="L13" s="181"/>
      <c r="M13" s="181"/>
      <c r="N13" s="182"/>
    </row>
    <row r="14" spans="1:20" ht="150" customHeight="1" x14ac:dyDescent="0.25">
      <c r="A14" s="49" t="s">
        <v>1206</v>
      </c>
      <c r="B14" s="47">
        <v>43342</v>
      </c>
      <c r="C14" s="49" t="s">
        <v>17</v>
      </c>
      <c r="D14" s="71" t="s">
        <v>113</v>
      </c>
      <c r="E14" s="71" t="s">
        <v>75</v>
      </c>
      <c r="F14" s="47"/>
      <c r="G14" s="49"/>
      <c r="H14" s="62"/>
      <c r="I14" s="120" t="s">
        <v>1207</v>
      </c>
      <c r="J14" s="180" t="s">
        <v>1862</v>
      </c>
      <c r="K14" s="181"/>
      <c r="L14" s="181"/>
      <c r="M14" s="181"/>
      <c r="N14" s="182"/>
    </row>
    <row r="15" spans="1:20" ht="150" customHeight="1" x14ac:dyDescent="0.25">
      <c r="A15" s="49" t="s">
        <v>1206</v>
      </c>
      <c r="B15" s="47">
        <v>43343</v>
      </c>
      <c r="C15" s="49" t="s">
        <v>441</v>
      </c>
      <c r="D15" s="71" t="s">
        <v>113</v>
      </c>
      <c r="E15" s="71" t="s">
        <v>75</v>
      </c>
      <c r="F15" s="47"/>
      <c r="G15" s="49"/>
      <c r="H15" s="62"/>
      <c r="I15" s="120" t="s">
        <v>1207</v>
      </c>
      <c r="J15" s="180" t="s">
        <v>1210</v>
      </c>
      <c r="K15" s="181"/>
      <c r="L15" s="181"/>
      <c r="M15" s="181"/>
      <c r="N15" s="182"/>
    </row>
    <row r="16" spans="1:20" ht="150" customHeight="1" x14ac:dyDescent="0.25">
      <c r="A16" s="49" t="s">
        <v>1211</v>
      </c>
      <c r="B16" s="47">
        <v>43347</v>
      </c>
      <c r="C16" s="49" t="s">
        <v>17</v>
      </c>
      <c r="D16" s="71" t="s">
        <v>113</v>
      </c>
      <c r="E16" s="71" t="s">
        <v>75</v>
      </c>
      <c r="F16" s="47"/>
      <c r="G16" s="49"/>
      <c r="H16" s="62"/>
      <c r="I16" s="120" t="s">
        <v>1212</v>
      </c>
      <c r="J16" s="180" t="s">
        <v>1863</v>
      </c>
      <c r="K16" s="181"/>
      <c r="L16" s="181"/>
      <c r="M16" s="181"/>
      <c r="N16" s="182"/>
    </row>
    <row r="17" spans="1:14" ht="150" customHeight="1" x14ac:dyDescent="0.25">
      <c r="A17" s="49" t="s">
        <v>1211</v>
      </c>
      <c r="B17" s="47">
        <v>43348</v>
      </c>
      <c r="C17" s="49" t="s">
        <v>17</v>
      </c>
      <c r="D17" s="71" t="s">
        <v>113</v>
      </c>
      <c r="E17" s="71" t="s">
        <v>75</v>
      </c>
      <c r="F17" s="47"/>
      <c r="G17" s="49"/>
      <c r="H17" s="62"/>
      <c r="I17" s="120" t="s">
        <v>1212</v>
      </c>
      <c r="J17" s="180" t="s">
        <v>1864</v>
      </c>
      <c r="K17" s="181"/>
      <c r="L17" s="181"/>
      <c r="M17" s="181"/>
      <c r="N17" s="182"/>
    </row>
    <row r="18" spans="1:14" ht="150" customHeight="1" x14ac:dyDescent="0.25">
      <c r="A18" s="49" t="s">
        <v>1211</v>
      </c>
      <c r="B18" s="71">
        <v>43353</v>
      </c>
      <c r="C18" s="49" t="s">
        <v>938</v>
      </c>
      <c r="D18" s="71" t="s">
        <v>113</v>
      </c>
      <c r="E18" s="71" t="s">
        <v>75</v>
      </c>
      <c r="F18" s="47"/>
      <c r="G18" s="49"/>
      <c r="H18" s="62"/>
      <c r="I18" s="120" t="s">
        <v>1212</v>
      </c>
      <c r="J18" s="180" t="s">
        <v>1865</v>
      </c>
      <c r="K18" s="181"/>
      <c r="L18" s="181"/>
      <c r="M18" s="181"/>
      <c r="N18" s="182"/>
    </row>
    <row r="19" spans="1:14" ht="150" customHeight="1" x14ac:dyDescent="0.25">
      <c r="A19" s="49" t="s">
        <v>1211</v>
      </c>
      <c r="B19" s="47">
        <v>43361</v>
      </c>
      <c r="C19" s="49" t="s">
        <v>938</v>
      </c>
      <c r="D19" s="71" t="s">
        <v>113</v>
      </c>
      <c r="E19" s="71" t="s">
        <v>75</v>
      </c>
      <c r="F19" s="47"/>
      <c r="G19" s="49"/>
      <c r="H19" s="62"/>
      <c r="I19" s="120" t="s">
        <v>1212</v>
      </c>
      <c r="J19" s="180" t="s">
        <v>1866</v>
      </c>
      <c r="K19" s="181"/>
      <c r="L19" s="181"/>
      <c r="M19" s="181"/>
      <c r="N19" s="182"/>
    </row>
    <row r="20" spans="1:14" ht="150" customHeight="1" x14ac:dyDescent="0.25">
      <c r="A20" s="49" t="s">
        <v>1211</v>
      </c>
      <c r="B20" s="47">
        <v>43361</v>
      </c>
      <c r="C20" s="49" t="s">
        <v>938</v>
      </c>
      <c r="D20" s="71" t="s">
        <v>113</v>
      </c>
      <c r="E20" s="71" t="s">
        <v>75</v>
      </c>
      <c r="F20" s="47"/>
      <c r="G20" s="49"/>
      <c r="H20" s="62"/>
      <c r="I20" s="120" t="s">
        <v>1212</v>
      </c>
      <c r="J20" s="180" t="s">
        <v>1866</v>
      </c>
      <c r="K20" s="181"/>
      <c r="L20" s="181"/>
      <c r="M20" s="181"/>
      <c r="N20" s="182"/>
    </row>
    <row r="21" spans="1:14" ht="150" customHeight="1" x14ac:dyDescent="0.25">
      <c r="A21" s="49" t="s">
        <v>1211</v>
      </c>
      <c r="B21" s="47">
        <v>43371</v>
      </c>
      <c r="C21" s="49" t="s">
        <v>938</v>
      </c>
      <c r="D21" s="71" t="s">
        <v>113</v>
      </c>
      <c r="E21" s="71" t="s">
        <v>75</v>
      </c>
      <c r="F21" s="47"/>
      <c r="G21" s="49"/>
      <c r="H21" s="62"/>
      <c r="I21" s="120" t="s">
        <v>1212</v>
      </c>
      <c r="J21" s="180" t="s">
        <v>1867</v>
      </c>
      <c r="K21" s="181"/>
      <c r="L21" s="181"/>
      <c r="M21" s="181"/>
      <c r="N21" s="182"/>
    </row>
    <row r="22" spans="1:14" ht="150" customHeight="1" x14ac:dyDescent="0.25">
      <c r="A22" s="49" t="s">
        <v>1709</v>
      </c>
      <c r="B22" s="47">
        <v>43383</v>
      </c>
      <c r="C22" s="49" t="s">
        <v>17</v>
      </c>
      <c r="D22" s="71" t="s">
        <v>113</v>
      </c>
      <c r="E22" s="71" t="s">
        <v>75</v>
      </c>
      <c r="F22" s="47"/>
      <c r="G22" s="49"/>
      <c r="H22" s="62"/>
      <c r="I22" s="120" t="s">
        <v>1710</v>
      </c>
      <c r="J22" s="180" t="s">
        <v>1868</v>
      </c>
      <c r="K22" s="181"/>
      <c r="L22" s="181"/>
      <c r="M22" s="181"/>
      <c r="N22" s="182"/>
    </row>
    <row r="23" spans="1:14" ht="150" customHeight="1" x14ac:dyDescent="0.25">
      <c r="A23" s="49" t="s">
        <v>1211</v>
      </c>
      <c r="B23" s="47">
        <v>43383</v>
      </c>
      <c r="C23" s="49" t="s">
        <v>774</v>
      </c>
      <c r="D23" s="71" t="s">
        <v>113</v>
      </c>
      <c r="E23" s="71" t="s">
        <v>75</v>
      </c>
      <c r="F23" s="47"/>
      <c r="G23" s="49"/>
      <c r="H23" s="62"/>
      <c r="I23" s="120" t="s">
        <v>1212</v>
      </c>
      <c r="J23" s="180" t="s">
        <v>1714</v>
      </c>
      <c r="K23" s="181"/>
      <c r="L23" s="181"/>
      <c r="M23" s="181"/>
      <c r="N23" s="182"/>
    </row>
    <row r="24" spans="1:14" ht="150" customHeight="1" x14ac:dyDescent="0.25">
      <c r="A24" s="49" t="s">
        <v>1211</v>
      </c>
      <c r="B24" s="47">
        <v>43383</v>
      </c>
      <c r="C24" s="49" t="s">
        <v>774</v>
      </c>
      <c r="D24" s="71" t="s">
        <v>113</v>
      </c>
      <c r="E24" s="71" t="s">
        <v>75</v>
      </c>
      <c r="F24" s="47"/>
      <c r="G24" s="49"/>
      <c r="H24" s="62"/>
      <c r="I24" s="120" t="s">
        <v>1212</v>
      </c>
      <c r="J24" s="180" t="s">
        <v>1714</v>
      </c>
      <c r="K24" s="181"/>
      <c r="L24" s="181"/>
      <c r="M24" s="181"/>
      <c r="N24" s="182"/>
    </row>
    <row r="25" spans="1:14" ht="150" customHeight="1" x14ac:dyDescent="0.25">
      <c r="A25" s="49" t="s">
        <v>1709</v>
      </c>
      <c r="B25" s="47">
        <v>43388</v>
      </c>
      <c r="C25" s="49" t="s">
        <v>774</v>
      </c>
      <c r="D25" s="71" t="s">
        <v>113</v>
      </c>
      <c r="E25" s="71" t="s">
        <v>75</v>
      </c>
      <c r="F25" s="47"/>
      <c r="G25" s="49"/>
      <c r="H25" s="62"/>
      <c r="I25" s="120" t="s">
        <v>1710</v>
      </c>
      <c r="J25" s="180" t="s">
        <v>1742</v>
      </c>
      <c r="K25" s="181"/>
      <c r="L25" s="181"/>
      <c r="M25" s="181"/>
      <c r="N25" s="182"/>
    </row>
    <row r="26" spans="1:14" ht="150" customHeight="1" x14ac:dyDescent="0.25">
      <c r="A26" s="49" t="s">
        <v>1751</v>
      </c>
      <c r="B26" s="71">
        <v>43396</v>
      </c>
      <c r="C26" s="49" t="s">
        <v>17</v>
      </c>
      <c r="D26" s="71" t="s">
        <v>113</v>
      </c>
      <c r="E26" s="71" t="s">
        <v>75</v>
      </c>
      <c r="F26" s="47" t="s">
        <v>1209</v>
      </c>
      <c r="G26" s="49" t="s">
        <v>1209</v>
      </c>
      <c r="H26" s="62" t="s">
        <v>1209</v>
      </c>
      <c r="I26" s="120" t="s">
        <v>1869</v>
      </c>
      <c r="J26" s="180" t="s">
        <v>1870</v>
      </c>
      <c r="K26" s="181"/>
      <c r="L26" s="181"/>
      <c r="M26" s="181"/>
      <c r="N26" s="182"/>
    </row>
    <row r="27" spans="1:14" ht="150" customHeight="1" x14ac:dyDescent="0.25">
      <c r="A27" s="49"/>
      <c r="B27" s="47"/>
      <c r="C27" s="49"/>
      <c r="D27" s="71"/>
      <c r="E27" s="71"/>
      <c r="F27" s="47"/>
      <c r="G27" s="49"/>
      <c r="H27" s="62"/>
      <c r="I27" s="120"/>
      <c r="J27" s="180"/>
      <c r="K27" s="181"/>
      <c r="L27" s="181"/>
      <c r="M27" s="181"/>
      <c r="N27" s="182"/>
    </row>
    <row r="28" spans="1:14" ht="150" customHeight="1" x14ac:dyDescent="0.25">
      <c r="A28" s="49"/>
      <c r="B28" s="47"/>
      <c r="C28" s="49"/>
      <c r="D28" s="71"/>
      <c r="E28" s="71"/>
      <c r="F28" s="47"/>
      <c r="G28" s="49"/>
      <c r="H28" s="62"/>
      <c r="I28" s="120"/>
      <c r="J28" s="180"/>
      <c r="K28" s="181"/>
      <c r="L28" s="181"/>
      <c r="M28" s="181"/>
      <c r="N28" s="182"/>
    </row>
    <row r="29" spans="1:14" ht="150" customHeight="1" x14ac:dyDescent="0.25">
      <c r="A29" s="49"/>
      <c r="B29" s="71"/>
      <c r="C29" s="49"/>
      <c r="D29" s="71"/>
      <c r="E29" s="71"/>
      <c r="F29" s="47"/>
      <c r="G29" s="49"/>
      <c r="H29" s="62"/>
      <c r="I29" s="120"/>
      <c r="J29" s="180"/>
      <c r="K29" s="181"/>
      <c r="L29" s="181"/>
      <c r="M29" s="181"/>
      <c r="N29" s="182"/>
    </row>
    <row r="30" spans="1:14" ht="150" customHeight="1" x14ac:dyDescent="0.25">
      <c r="A30" s="49"/>
      <c r="B30" s="71"/>
      <c r="C30" s="49"/>
      <c r="D30" s="71"/>
      <c r="E30" s="71"/>
      <c r="F30" s="47"/>
      <c r="G30" s="49"/>
      <c r="H30" s="62"/>
      <c r="I30" s="120"/>
      <c r="J30" s="180"/>
      <c r="K30" s="181"/>
      <c r="L30" s="181"/>
      <c r="M30" s="181"/>
      <c r="N30" s="182"/>
    </row>
    <row r="31" spans="1:14" ht="150" customHeight="1" x14ac:dyDescent="0.25">
      <c r="A31" s="49"/>
      <c r="B31" s="71"/>
      <c r="C31" s="49"/>
      <c r="D31" s="71"/>
      <c r="E31" s="71"/>
      <c r="F31" s="47"/>
      <c r="G31" s="49"/>
      <c r="H31" s="62"/>
      <c r="I31" s="120"/>
      <c r="J31" s="180"/>
      <c r="K31" s="181"/>
      <c r="L31" s="181"/>
      <c r="M31" s="181"/>
      <c r="N31" s="182"/>
    </row>
    <row r="32" spans="1:14" ht="150" customHeight="1" x14ac:dyDescent="0.25">
      <c r="A32" s="49"/>
      <c r="B32" s="47"/>
      <c r="C32" s="49"/>
      <c r="D32" s="71"/>
      <c r="E32" s="71"/>
      <c r="F32" s="47"/>
      <c r="G32" s="49"/>
      <c r="H32" s="62"/>
      <c r="I32" s="120"/>
      <c r="J32" s="180"/>
      <c r="K32" s="181"/>
      <c r="L32" s="181"/>
      <c r="M32" s="181"/>
      <c r="N32" s="182"/>
    </row>
    <row r="33" spans="1:14" ht="150" customHeight="1" x14ac:dyDescent="0.25">
      <c r="A33" s="49"/>
      <c r="B33" s="47"/>
      <c r="C33" s="49"/>
      <c r="D33" s="71"/>
      <c r="E33" s="71"/>
      <c r="F33" s="47"/>
      <c r="G33" s="49"/>
      <c r="H33" s="62"/>
      <c r="I33" s="120"/>
      <c r="J33" s="180"/>
      <c r="K33" s="181"/>
      <c r="L33" s="181"/>
      <c r="M33" s="181"/>
      <c r="N33" s="182"/>
    </row>
    <row r="34" spans="1:14" ht="150" customHeight="1" x14ac:dyDescent="0.25">
      <c r="A34" s="49"/>
      <c r="B34" s="47"/>
      <c r="C34" s="49"/>
      <c r="D34" s="71"/>
      <c r="E34" s="71"/>
      <c r="F34" s="47"/>
      <c r="G34" s="49"/>
      <c r="H34" s="62"/>
      <c r="I34" s="120"/>
      <c r="J34" s="180"/>
      <c r="K34" s="181"/>
      <c r="L34" s="181"/>
      <c r="M34" s="181"/>
      <c r="N34" s="182"/>
    </row>
    <row r="35" spans="1:14" ht="150" customHeight="1" x14ac:dyDescent="0.25">
      <c r="A35" s="49"/>
      <c r="B35" s="71"/>
      <c r="C35" s="49"/>
      <c r="D35" s="71"/>
      <c r="E35" s="71"/>
      <c r="F35" s="47"/>
      <c r="G35" s="49"/>
      <c r="H35" s="62"/>
      <c r="I35" s="120"/>
      <c r="J35" s="180"/>
      <c r="K35" s="181"/>
      <c r="L35" s="181"/>
      <c r="M35" s="181"/>
      <c r="N35" s="182"/>
    </row>
    <row r="36" spans="1:14" ht="150" customHeight="1" x14ac:dyDescent="0.25">
      <c r="A36" s="49"/>
      <c r="B36" s="71"/>
      <c r="C36" s="49"/>
      <c r="D36" s="71"/>
      <c r="E36" s="71"/>
      <c r="F36" s="47"/>
      <c r="G36" s="49"/>
      <c r="H36" s="62"/>
      <c r="I36" s="120"/>
      <c r="J36" s="180"/>
      <c r="K36" s="181"/>
      <c r="L36" s="181"/>
      <c r="M36" s="181"/>
      <c r="N36" s="182"/>
    </row>
    <row r="37" spans="1:14" ht="150" customHeight="1" x14ac:dyDescent="0.25">
      <c r="A37" s="49"/>
      <c r="B37" s="71"/>
      <c r="C37" s="49"/>
      <c r="D37" s="71"/>
      <c r="E37" s="71"/>
      <c r="F37" s="47"/>
      <c r="G37" s="49"/>
      <c r="H37" s="62"/>
      <c r="I37" s="120"/>
      <c r="J37" s="180"/>
      <c r="K37" s="181"/>
      <c r="L37" s="181"/>
      <c r="M37" s="181"/>
      <c r="N37" s="182"/>
    </row>
    <row r="38" spans="1:14" ht="150" customHeight="1" x14ac:dyDescent="0.25">
      <c r="A38" s="49"/>
      <c r="B38" s="71"/>
      <c r="C38" s="49"/>
      <c r="D38" s="71"/>
      <c r="E38" s="71"/>
      <c r="F38" s="47"/>
      <c r="G38" s="49"/>
      <c r="H38" s="62"/>
      <c r="I38" s="120"/>
      <c r="J38" s="180"/>
      <c r="K38" s="181"/>
      <c r="L38" s="181"/>
      <c r="M38" s="181"/>
      <c r="N38" s="182"/>
    </row>
    <row r="39" spans="1:14" ht="150" customHeight="1" x14ac:dyDescent="0.25">
      <c r="A39" s="49"/>
      <c r="B39" s="71"/>
      <c r="C39" s="49"/>
      <c r="D39" s="71"/>
      <c r="E39" s="71"/>
      <c r="F39" s="47"/>
      <c r="G39" s="49"/>
      <c r="H39" s="62"/>
      <c r="I39" s="120"/>
      <c r="J39" s="180"/>
      <c r="K39" s="181"/>
      <c r="L39" s="181"/>
      <c r="M39" s="181"/>
      <c r="N39" s="182"/>
    </row>
    <row r="40" spans="1:14" ht="150" customHeight="1" x14ac:dyDescent="0.25">
      <c r="A40" s="49"/>
      <c r="B40" s="47"/>
      <c r="C40" s="49"/>
      <c r="D40" s="71"/>
      <c r="E40" s="71"/>
      <c r="F40" s="47"/>
      <c r="G40" s="49"/>
      <c r="H40" s="62"/>
      <c r="I40" s="120"/>
      <c r="J40" s="180"/>
      <c r="K40" s="181"/>
      <c r="L40" s="181"/>
      <c r="M40" s="181"/>
      <c r="N40" s="182"/>
    </row>
    <row r="41" spans="1:14" ht="150" customHeight="1" x14ac:dyDescent="0.25">
      <c r="A41" s="49"/>
      <c r="B41" s="47"/>
      <c r="C41" s="49"/>
      <c r="D41" s="71"/>
      <c r="E41" s="71"/>
      <c r="F41" s="47"/>
      <c r="G41" s="49"/>
      <c r="H41" s="62"/>
      <c r="I41" s="120"/>
      <c r="J41" s="50"/>
      <c r="K41" s="50"/>
      <c r="L41" s="88"/>
      <c r="M41" s="122"/>
      <c r="N41" s="50"/>
    </row>
    <row r="42" spans="1:14" ht="150" customHeight="1" x14ac:dyDescent="0.25">
      <c r="A42" s="49"/>
      <c r="B42" s="47"/>
      <c r="C42" s="49"/>
      <c r="D42" s="71"/>
      <c r="E42" s="71"/>
      <c r="F42" s="47"/>
      <c r="G42" s="49"/>
      <c r="H42" s="62"/>
      <c r="I42" s="120"/>
      <c r="J42" s="50"/>
      <c r="K42" s="50"/>
      <c r="L42" s="88"/>
      <c r="M42" s="122"/>
      <c r="N42" s="50"/>
    </row>
    <row r="43" spans="1:14" ht="150" customHeight="1" x14ac:dyDescent="0.25">
      <c r="A43" s="49"/>
      <c r="B43" s="47"/>
      <c r="C43" s="49"/>
      <c r="D43" s="71"/>
      <c r="E43" s="71"/>
      <c r="F43" s="47"/>
      <c r="G43" s="49"/>
      <c r="H43" s="62"/>
      <c r="I43" s="120"/>
      <c r="J43" s="50"/>
      <c r="K43" s="88"/>
      <c r="L43" s="88"/>
      <c r="M43" s="122"/>
      <c r="N43" s="50"/>
    </row>
    <row r="44" spans="1:14" ht="150" customHeight="1" x14ac:dyDescent="0.25">
      <c r="A44" s="49"/>
      <c r="B44" s="47"/>
      <c r="C44" s="49"/>
      <c r="D44" s="71"/>
      <c r="E44" s="71"/>
      <c r="F44" s="47"/>
      <c r="G44" s="49"/>
      <c r="H44" s="62"/>
      <c r="I44" s="120"/>
      <c r="J44" s="50"/>
      <c r="K44" s="88"/>
      <c r="L44" s="88"/>
      <c r="M44" s="122"/>
      <c r="N44" s="50"/>
    </row>
    <row r="45" spans="1:14" ht="150" customHeight="1" x14ac:dyDescent="0.25">
      <c r="A45" s="49"/>
      <c r="B45" s="71"/>
      <c r="C45" s="49"/>
      <c r="D45" s="71"/>
      <c r="E45" s="71"/>
      <c r="F45" s="47"/>
      <c r="G45" s="49"/>
      <c r="H45" s="62"/>
      <c r="I45" s="120"/>
      <c r="J45" s="50"/>
      <c r="K45" s="88"/>
      <c r="L45" s="88"/>
      <c r="M45" s="122"/>
      <c r="N45" s="50"/>
    </row>
    <row r="46" spans="1:14" ht="150" customHeight="1" x14ac:dyDescent="0.25">
      <c r="A46" s="49"/>
      <c r="B46" s="71"/>
      <c r="C46" s="49"/>
      <c r="D46" s="71"/>
      <c r="E46" s="71"/>
      <c r="F46" s="47"/>
      <c r="G46" s="49"/>
      <c r="H46" s="62"/>
      <c r="I46" s="120"/>
      <c r="J46" s="50"/>
      <c r="K46" s="88"/>
      <c r="L46" s="88"/>
      <c r="M46" s="122"/>
      <c r="N46" s="50"/>
    </row>
    <row r="47" spans="1:14" ht="150" customHeight="1" x14ac:dyDescent="0.25">
      <c r="A47" s="49"/>
      <c r="B47" s="71"/>
      <c r="C47" s="49"/>
      <c r="D47" s="71"/>
      <c r="E47" s="71"/>
      <c r="F47" s="47"/>
      <c r="G47" s="49"/>
      <c r="H47" s="62"/>
      <c r="I47" s="120"/>
      <c r="J47" s="50"/>
      <c r="K47" s="88"/>
      <c r="L47" s="88"/>
      <c r="M47" s="122"/>
      <c r="N47" s="50"/>
    </row>
    <row r="48" spans="1:14" ht="150" customHeight="1" x14ac:dyDescent="0.25">
      <c r="A48" s="49"/>
      <c r="B48" s="71"/>
      <c r="C48" s="49"/>
      <c r="D48" s="71"/>
      <c r="E48" s="71"/>
      <c r="F48" s="47"/>
      <c r="G48" s="49"/>
      <c r="H48" s="62"/>
      <c r="I48" s="120"/>
      <c r="J48" s="50"/>
      <c r="K48" s="88"/>
      <c r="L48" s="88"/>
      <c r="M48" s="122"/>
      <c r="N48" s="50"/>
    </row>
    <row r="49" spans="1:14" ht="150" customHeight="1" x14ac:dyDescent="0.25">
      <c r="A49" s="49"/>
      <c r="B49" s="71"/>
      <c r="C49" s="49"/>
      <c r="D49" s="71"/>
      <c r="E49" s="71"/>
      <c r="F49" s="47"/>
      <c r="G49" s="49"/>
      <c r="H49" s="62"/>
      <c r="I49" s="120"/>
      <c r="J49" s="50"/>
      <c r="K49" s="88"/>
      <c r="L49" s="88"/>
      <c r="M49" s="122"/>
      <c r="N49" s="50"/>
    </row>
    <row r="50" spans="1:14" ht="150" customHeight="1" x14ac:dyDescent="0.25">
      <c r="A50" s="49"/>
      <c r="B50" s="71"/>
      <c r="C50" s="49"/>
      <c r="D50" s="71"/>
      <c r="E50" s="71"/>
      <c r="F50" s="47"/>
      <c r="G50" s="49"/>
      <c r="H50" s="62"/>
      <c r="I50" s="120"/>
      <c r="J50" s="50"/>
      <c r="K50" s="88"/>
      <c r="L50" s="88"/>
      <c r="M50" s="122"/>
      <c r="N50" s="50"/>
    </row>
    <row r="51" spans="1:14" ht="150" customHeight="1" x14ac:dyDescent="0.25">
      <c r="A51" s="49"/>
      <c r="B51" s="47"/>
      <c r="C51" s="49"/>
      <c r="D51" s="71"/>
      <c r="E51" s="71"/>
      <c r="F51" s="47"/>
      <c r="G51" s="49"/>
      <c r="H51" s="62"/>
      <c r="I51" s="120"/>
      <c r="J51" s="50"/>
      <c r="K51" s="88"/>
      <c r="L51" s="88"/>
      <c r="M51" s="122"/>
      <c r="N51" s="50"/>
    </row>
    <row r="52" spans="1:14" ht="150" customHeight="1" x14ac:dyDescent="0.25">
      <c r="A52" s="49"/>
      <c r="B52" s="47"/>
      <c r="C52" s="49"/>
      <c r="D52" s="71"/>
      <c r="E52" s="71"/>
      <c r="F52" s="47"/>
      <c r="G52" s="49"/>
      <c r="H52" s="62"/>
      <c r="I52" s="120"/>
      <c r="J52" s="50"/>
      <c r="K52" s="88"/>
      <c r="L52" s="88"/>
      <c r="M52" s="122"/>
      <c r="N52" s="50"/>
    </row>
    <row r="53" spans="1:14" ht="150" customHeight="1" x14ac:dyDescent="0.25">
      <c r="A53" s="49"/>
      <c r="B53" s="47"/>
      <c r="C53" s="49"/>
      <c r="D53" s="71"/>
      <c r="E53" s="71"/>
      <c r="F53" s="47"/>
      <c r="G53" s="49"/>
      <c r="H53" s="62"/>
      <c r="I53" s="120"/>
      <c r="J53" s="50"/>
      <c r="K53" s="88"/>
      <c r="L53" s="88"/>
      <c r="M53" s="122"/>
      <c r="N53" s="50"/>
    </row>
    <row r="54" spans="1:14" ht="150" customHeight="1" x14ac:dyDescent="0.25">
      <c r="A54" s="49"/>
      <c r="B54" s="47"/>
      <c r="C54" s="49"/>
      <c r="D54" s="71"/>
      <c r="E54" s="71"/>
      <c r="F54" s="47"/>
      <c r="G54" s="49"/>
      <c r="H54" s="62"/>
      <c r="I54" s="120"/>
      <c r="J54" s="50"/>
      <c r="K54" s="88"/>
      <c r="L54" s="88"/>
      <c r="M54" s="122"/>
      <c r="N54" s="50"/>
    </row>
    <row r="55" spans="1:14" ht="150" customHeight="1" x14ac:dyDescent="0.25">
      <c r="A55" s="49"/>
      <c r="B55" s="47"/>
      <c r="C55" s="49"/>
      <c r="D55" s="71"/>
      <c r="E55" s="71"/>
      <c r="F55" s="47"/>
      <c r="G55" s="49"/>
      <c r="H55" s="62"/>
      <c r="I55" s="120"/>
      <c r="J55" s="50"/>
      <c r="K55" s="88"/>
      <c r="L55" s="88"/>
      <c r="M55" s="123"/>
      <c r="N55" s="50"/>
    </row>
    <row r="56" spans="1:14" ht="150" customHeight="1" x14ac:dyDescent="0.25">
      <c r="A56" s="49"/>
      <c r="B56" s="71"/>
      <c r="C56" s="49"/>
      <c r="D56" s="71"/>
      <c r="E56" s="71"/>
      <c r="F56" s="47"/>
      <c r="G56" s="49"/>
      <c r="H56" s="62"/>
      <c r="I56" s="120"/>
      <c r="J56" s="50"/>
      <c r="K56" s="88"/>
      <c r="L56" s="88"/>
      <c r="M56" s="123"/>
      <c r="N56" s="50"/>
    </row>
    <row r="57" spans="1:14" ht="150" customHeight="1" x14ac:dyDescent="0.25">
      <c r="A57" s="49"/>
      <c r="B57" s="47"/>
      <c r="C57" s="49"/>
      <c r="D57" s="71"/>
      <c r="E57" s="71"/>
      <c r="F57" s="47"/>
      <c r="G57" s="49"/>
      <c r="H57" s="62"/>
      <c r="I57" s="120"/>
      <c r="J57" s="88"/>
      <c r="K57" s="88"/>
      <c r="L57" s="88"/>
      <c r="M57" s="123"/>
      <c r="N57" s="50"/>
    </row>
    <row r="58" spans="1:14" ht="150" customHeight="1" x14ac:dyDescent="0.25">
      <c r="A58" s="49"/>
      <c r="B58" s="47"/>
      <c r="C58" s="49"/>
      <c r="D58" s="71"/>
      <c r="E58" s="71"/>
      <c r="F58" s="47"/>
      <c r="G58" s="49"/>
      <c r="H58" s="62"/>
      <c r="I58" s="120"/>
      <c r="J58" s="88"/>
      <c r="K58" s="88"/>
      <c r="L58" s="88"/>
      <c r="M58" s="123"/>
      <c r="N58" s="50"/>
    </row>
    <row r="59" spans="1:14" ht="150" customHeight="1" x14ac:dyDescent="0.25">
      <c r="A59" s="49"/>
      <c r="B59" s="71"/>
      <c r="C59" s="49"/>
      <c r="D59" s="71"/>
      <c r="E59" s="71"/>
      <c r="F59" s="47"/>
      <c r="G59" s="49"/>
      <c r="H59" s="62"/>
      <c r="I59" s="120"/>
      <c r="J59" s="88"/>
      <c r="K59" s="88"/>
      <c r="L59" s="88"/>
      <c r="M59" s="123"/>
      <c r="N59" s="50"/>
    </row>
    <row r="60" spans="1:14" ht="150" customHeight="1" x14ac:dyDescent="0.25">
      <c r="A60" s="49"/>
      <c r="B60" s="47"/>
      <c r="C60" s="49"/>
      <c r="D60" s="71"/>
      <c r="E60" s="71"/>
      <c r="F60" s="47"/>
      <c r="G60" s="49"/>
      <c r="H60" s="62"/>
      <c r="I60" s="120"/>
      <c r="J60" s="88"/>
      <c r="K60" s="88"/>
      <c r="L60" s="88"/>
      <c r="M60" s="123"/>
      <c r="N60" s="50"/>
    </row>
    <row r="61" spans="1:14" ht="150" customHeight="1" x14ac:dyDescent="0.25">
      <c r="A61" s="49"/>
      <c r="B61" s="71"/>
      <c r="C61" s="49"/>
      <c r="D61" s="71"/>
      <c r="E61" s="71"/>
      <c r="F61" s="47"/>
      <c r="G61" s="49"/>
      <c r="H61" s="62"/>
      <c r="I61" s="120"/>
      <c r="J61" s="88"/>
      <c r="K61" s="88"/>
      <c r="L61" s="88"/>
      <c r="M61" s="123"/>
      <c r="N61" s="50"/>
    </row>
    <row r="62" spans="1:14" ht="150" customHeight="1" x14ac:dyDescent="0.25">
      <c r="A62" s="49"/>
      <c r="B62" s="47"/>
      <c r="C62" s="49"/>
      <c r="D62" s="71"/>
      <c r="E62" s="71"/>
      <c r="F62" s="47"/>
      <c r="G62" s="49"/>
      <c r="H62" s="62"/>
      <c r="I62" s="120"/>
      <c r="J62" s="88"/>
      <c r="K62" s="88"/>
      <c r="L62" s="88"/>
      <c r="M62" s="123"/>
      <c r="N62" s="50"/>
    </row>
    <row r="63" spans="1:14" ht="150" customHeight="1" x14ac:dyDescent="0.25">
      <c r="A63" s="49"/>
      <c r="B63" s="71"/>
      <c r="C63" s="49"/>
      <c r="D63" s="71"/>
      <c r="E63" s="71"/>
      <c r="F63" s="47"/>
      <c r="G63" s="49"/>
      <c r="H63" s="62"/>
      <c r="I63" s="120"/>
      <c r="J63" s="88"/>
      <c r="K63" s="88"/>
      <c r="L63" s="88"/>
      <c r="M63" s="123"/>
      <c r="N63" s="50"/>
    </row>
    <row r="64" spans="1:14" ht="150" customHeight="1" x14ac:dyDescent="0.25">
      <c r="A64" s="49"/>
      <c r="B64" s="47"/>
      <c r="C64" s="49"/>
      <c r="D64" s="71"/>
      <c r="E64" s="71"/>
      <c r="F64" s="47"/>
      <c r="G64" s="49"/>
      <c r="H64" s="62"/>
      <c r="I64" s="120"/>
      <c r="J64" s="88"/>
      <c r="K64" s="88"/>
      <c r="L64" s="88"/>
      <c r="M64" s="123"/>
      <c r="N64" s="50"/>
    </row>
    <row r="65" spans="1:14" ht="150" customHeight="1" x14ac:dyDescent="0.25">
      <c r="A65" s="49"/>
      <c r="B65" s="47"/>
      <c r="C65" s="49"/>
      <c r="D65" s="47"/>
      <c r="E65" s="71"/>
      <c r="F65" s="47"/>
      <c r="G65" s="49"/>
      <c r="H65" s="62"/>
      <c r="I65" s="120"/>
      <c r="J65" s="88"/>
      <c r="K65" s="88"/>
      <c r="L65" s="88"/>
      <c r="M65" s="123"/>
      <c r="N65" s="50"/>
    </row>
    <row r="66" spans="1:14" ht="150" customHeight="1" x14ac:dyDescent="0.25">
      <c r="A66" s="49"/>
      <c r="B66" s="71"/>
      <c r="C66" s="49"/>
      <c r="D66" s="47"/>
      <c r="E66" s="71"/>
      <c r="F66" s="47"/>
      <c r="G66" s="49"/>
      <c r="H66" s="62"/>
      <c r="I66" s="120"/>
      <c r="J66" s="88"/>
      <c r="K66" s="88"/>
      <c r="L66" s="88"/>
      <c r="M66" s="123"/>
      <c r="N66" s="50"/>
    </row>
    <row r="67" spans="1:14" ht="150" customHeight="1" x14ac:dyDescent="0.25">
      <c r="A67" s="49"/>
      <c r="B67" s="71"/>
      <c r="C67" s="49"/>
      <c r="D67" s="47"/>
      <c r="E67" s="71"/>
      <c r="F67" s="47"/>
      <c r="G67" s="49"/>
      <c r="H67" s="62"/>
      <c r="I67" s="120"/>
      <c r="J67" s="88"/>
      <c r="K67" s="88"/>
      <c r="L67" s="88"/>
      <c r="M67" s="123"/>
      <c r="N67" s="50"/>
    </row>
    <row r="68" spans="1:14" ht="150" customHeight="1" x14ac:dyDescent="0.25">
      <c r="A68" s="49"/>
      <c r="B68" s="71"/>
      <c r="C68" s="49"/>
      <c r="D68" s="47"/>
      <c r="E68" s="71"/>
      <c r="F68" s="47"/>
      <c r="G68" s="49"/>
      <c r="H68" s="62"/>
      <c r="I68" s="120"/>
      <c r="J68" s="88"/>
      <c r="K68" s="88"/>
      <c r="L68" s="88"/>
      <c r="M68" s="123"/>
      <c r="N68" s="50"/>
    </row>
    <row r="69" spans="1:14" ht="150" customHeight="1" x14ac:dyDescent="0.25">
      <c r="A69" s="49"/>
      <c r="B69" s="71"/>
      <c r="C69" s="49"/>
      <c r="D69" s="47"/>
      <c r="E69" s="71"/>
      <c r="F69" s="47"/>
      <c r="G69" s="49"/>
      <c r="H69" s="62"/>
      <c r="I69" s="120"/>
      <c r="J69" s="88"/>
      <c r="K69" s="88"/>
      <c r="L69" s="88"/>
      <c r="M69" s="123"/>
      <c r="N69" s="50"/>
    </row>
    <row r="70" spans="1:14" ht="150" customHeight="1" x14ac:dyDescent="0.25">
      <c r="A70" s="49"/>
      <c r="B70" s="47"/>
      <c r="C70" s="49"/>
      <c r="D70" s="47"/>
      <c r="E70" s="71"/>
      <c r="F70" s="47"/>
      <c r="G70" s="49"/>
      <c r="H70" s="62"/>
      <c r="I70" s="120"/>
      <c r="J70" s="88"/>
      <c r="K70" s="88"/>
      <c r="L70" s="88"/>
      <c r="M70" s="123"/>
      <c r="N70" s="50"/>
    </row>
    <row r="71" spans="1:14" ht="150" customHeight="1" x14ac:dyDescent="0.25">
      <c r="A71" s="49"/>
      <c r="B71" s="71"/>
      <c r="C71" s="49"/>
      <c r="D71" s="47"/>
      <c r="E71" s="71"/>
      <c r="F71" s="47"/>
      <c r="G71" s="49"/>
      <c r="H71" s="62"/>
      <c r="I71" s="120"/>
      <c r="J71" s="88"/>
      <c r="K71" s="88"/>
      <c r="L71" s="88"/>
      <c r="M71" s="123"/>
      <c r="N71" s="88"/>
    </row>
    <row r="72" spans="1:14" ht="150" customHeight="1" x14ac:dyDescent="0.25">
      <c r="A72" s="49"/>
      <c r="B72" s="47"/>
      <c r="C72" s="49"/>
      <c r="D72" s="47"/>
      <c r="E72" s="71"/>
      <c r="F72" s="47"/>
      <c r="G72" s="49"/>
      <c r="H72" s="62"/>
      <c r="I72" s="120"/>
      <c r="J72" s="88"/>
      <c r="K72" s="88"/>
      <c r="L72" s="88"/>
      <c r="M72" s="123"/>
      <c r="N72" s="88"/>
    </row>
    <row r="73" spans="1:14" ht="150" customHeight="1" x14ac:dyDescent="0.25">
      <c r="A73" s="49"/>
      <c r="B73" s="47"/>
      <c r="C73" s="49"/>
      <c r="D73" s="47"/>
      <c r="E73" s="71"/>
      <c r="F73" s="47"/>
      <c r="G73" s="49"/>
      <c r="H73" s="62"/>
      <c r="I73" s="120"/>
      <c r="J73" s="88"/>
      <c r="K73" s="88"/>
      <c r="L73" s="88"/>
      <c r="M73" s="123"/>
      <c r="N73" s="88"/>
    </row>
    <row r="74" spans="1:14" ht="150" customHeight="1" x14ac:dyDescent="0.25">
      <c r="A74" s="49"/>
      <c r="B74" s="71"/>
      <c r="C74" s="49"/>
      <c r="D74" s="47"/>
      <c r="E74" s="71"/>
      <c r="F74" s="47"/>
      <c r="G74" s="49"/>
      <c r="H74" s="62"/>
      <c r="I74" s="120"/>
      <c r="J74" s="88"/>
      <c r="K74" s="88"/>
      <c r="L74" s="88"/>
      <c r="M74" s="123"/>
      <c r="N74" s="88"/>
    </row>
    <row r="75" spans="1:14" ht="150" customHeight="1" x14ac:dyDescent="0.25">
      <c r="A75" s="49"/>
      <c r="B75" s="47"/>
      <c r="C75" s="49"/>
      <c r="D75" s="47"/>
      <c r="E75" s="71"/>
      <c r="F75" s="47"/>
      <c r="G75" s="49"/>
      <c r="H75" s="62"/>
      <c r="I75" s="120"/>
      <c r="J75" s="88"/>
      <c r="K75" s="88"/>
      <c r="L75" s="88"/>
      <c r="M75" s="123"/>
      <c r="N75" s="88"/>
    </row>
    <row r="76" spans="1:14" ht="150" customHeight="1" x14ac:dyDescent="0.25">
      <c r="A76" s="49"/>
      <c r="B76" s="47"/>
      <c r="C76" s="49"/>
      <c r="D76" s="47"/>
      <c r="E76" s="71"/>
      <c r="F76" s="47"/>
      <c r="G76" s="49"/>
      <c r="H76" s="62"/>
      <c r="I76" s="120"/>
      <c r="J76" s="88"/>
      <c r="K76" s="88"/>
      <c r="L76" s="88"/>
      <c r="M76" s="123"/>
      <c r="N76" s="88"/>
    </row>
    <row r="77" spans="1:14" ht="150" customHeight="1" x14ac:dyDescent="0.25">
      <c r="A77" s="49"/>
      <c r="B77" s="47"/>
      <c r="C77" s="49"/>
      <c r="D77" s="47"/>
      <c r="E77" s="71"/>
      <c r="F77" s="47"/>
      <c r="G77" s="49"/>
      <c r="H77" s="62"/>
      <c r="I77" s="120"/>
      <c r="J77" s="88"/>
      <c r="K77" s="88"/>
      <c r="L77" s="88"/>
      <c r="M77" s="123"/>
      <c r="N77" s="88"/>
    </row>
    <row r="78" spans="1:14" ht="150" customHeight="1" x14ac:dyDescent="0.25">
      <c r="A78" s="49"/>
      <c r="B78" s="47"/>
      <c r="C78" s="49"/>
      <c r="D78" s="47"/>
      <c r="E78" s="71"/>
      <c r="F78" s="47"/>
      <c r="G78" s="49"/>
      <c r="H78" s="50"/>
      <c r="I78" s="120"/>
      <c r="J78" s="88"/>
      <c r="K78" s="88"/>
      <c r="L78" s="88"/>
      <c r="M78" s="123"/>
      <c r="N78" s="88"/>
    </row>
    <row r="79" spans="1:14" ht="150" customHeight="1" x14ac:dyDescent="0.25">
      <c r="A79" s="49"/>
      <c r="B79" s="47"/>
      <c r="C79" s="49"/>
      <c r="D79" s="47"/>
      <c r="E79" s="71"/>
      <c r="F79" s="47"/>
      <c r="G79" s="49"/>
      <c r="H79" s="50"/>
      <c r="I79" s="120"/>
      <c r="J79" s="88"/>
      <c r="K79" s="88"/>
      <c r="L79" s="88"/>
      <c r="M79" s="123"/>
      <c r="N79" s="88"/>
    </row>
    <row r="80" spans="1:14" ht="150" customHeight="1" x14ac:dyDescent="0.25">
      <c r="A80" s="49"/>
      <c r="B80" s="47"/>
      <c r="C80" s="49"/>
      <c r="D80" s="47"/>
      <c r="E80" s="71"/>
      <c r="F80" s="47"/>
      <c r="G80" s="49"/>
      <c r="H80" s="50"/>
      <c r="I80" s="120"/>
      <c r="J80" s="88"/>
      <c r="K80" s="88"/>
      <c r="L80" s="88"/>
      <c r="M80" s="123"/>
      <c r="N80" s="88"/>
    </row>
    <row r="81" spans="1:14" ht="150" customHeight="1" x14ac:dyDescent="0.25">
      <c r="A81" s="49"/>
      <c r="B81" s="71"/>
      <c r="C81" s="49"/>
      <c r="D81" s="47"/>
      <c r="E81" s="71"/>
      <c r="F81" s="47"/>
      <c r="G81" s="49"/>
      <c r="H81" s="50"/>
      <c r="I81" s="120"/>
      <c r="J81" s="88"/>
      <c r="K81" s="88"/>
      <c r="L81" s="88"/>
      <c r="M81" s="123"/>
      <c r="N81" s="88"/>
    </row>
    <row r="82" spans="1:14" ht="150" customHeight="1" x14ac:dyDescent="0.25">
      <c r="A82" s="49"/>
      <c r="B82" s="71"/>
      <c r="C82" s="49"/>
      <c r="D82" s="47"/>
      <c r="E82" s="71"/>
      <c r="F82" s="47"/>
      <c r="G82" s="49"/>
      <c r="H82" s="50"/>
      <c r="I82" s="120"/>
      <c r="J82" s="88"/>
      <c r="K82" s="88"/>
      <c r="L82" s="88"/>
      <c r="M82" s="123"/>
      <c r="N82" s="88"/>
    </row>
    <row r="83" spans="1:14" ht="150" customHeight="1" x14ac:dyDescent="0.25">
      <c r="A83" s="49"/>
      <c r="B83" s="71"/>
      <c r="C83" s="49"/>
      <c r="D83" s="47"/>
      <c r="E83" s="71"/>
      <c r="F83" s="47"/>
      <c r="G83" s="49"/>
      <c r="H83" s="50"/>
      <c r="I83" s="120"/>
      <c r="J83" s="88"/>
      <c r="K83" s="88"/>
      <c r="L83" s="88"/>
      <c r="M83" s="123"/>
      <c r="N83" s="88"/>
    </row>
    <row r="84" spans="1:14" ht="150" customHeight="1" x14ac:dyDescent="0.25">
      <c r="A84" s="49"/>
      <c r="B84" s="47"/>
      <c r="C84" s="49"/>
      <c r="D84" s="47"/>
      <c r="E84" s="71"/>
      <c r="F84" s="47"/>
      <c r="G84" s="49"/>
      <c r="H84" s="50"/>
      <c r="I84" s="120"/>
      <c r="J84" s="88"/>
      <c r="K84" s="88"/>
      <c r="L84" s="88"/>
      <c r="M84" s="123"/>
      <c r="N84" s="88"/>
    </row>
    <row r="85" spans="1:14" ht="150" customHeight="1" x14ac:dyDescent="0.25">
      <c r="A85" s="49"/>
      <c r="B85" s="47"/>
      <c r="C85" s="49"/>
      <c r="D85" s="47"/>
      <c r="E85" s="71"/>
      <c r="F85" s="47"/>
      <c r="G85" s="49"/>
      <c r="H85" s="50"/>
      <c r="I85" s="120"/>
      <c r="J85" s="88"/>
      <c r="K85" s="88"/>
      <c r="L85" s="88"/>
      <c r="M85" s="123"/>
      <c r="N85" s="88"/>
    </row>
    <row r="86" spans="1:14" ht="150" customHeight="1" x14ac:dyDescent="0.25">
      <c r="A86" s="49"/>
      <c r="B86" s="47"/>
      <c r="C86" s="49"/>
      <c r="D86" s="47"/>
      <c r="E86" s="71"/>
      <c r="F86" s="47"/>
      <c r="G86" s="49"/>
      <c r="H86" s="50"/>
      <c r="I86" s="120"/>
      <c r="J86" s="88"/>
      <c r="K86" s="88"/>
      <c r="L86" s="88"/>
      <c r="M86" s="123"/>
      <c r="N86" s="88"/>
    </row>
    <row r="87" spans="1:14" ht="150" customHeight="1" x14ac:dyDescent="0.25">
      <c r="A87" s="49"/>
      <c r="B87" s="47"/>
      <c r="C87" s="49"/>
      <c r="D87" s="47"/>
      <c r="E87" s="71"/>
      <c r="F87" s="47"/>
      <c r="G87" s="49"/>
      <c r="H87" s="50"/>
      <c r="I87" s="120"/>
      <c r="J87" s="88"/>
      <c r="K87" s="88"/>
      <c r="L87" s="88"/>
      <c r="M87" s="123"/>
      <c r="N87" s="88"/>
    </row>
    <row r="88" spans="1:14" ht="150" customHeight="1" x14ac:dyDescent="0.25">
      <c r="A88" s="49"/>
      <c r="B88" s="47"/>
      <c r="C88" s="49"/>
      <c r="D88" s="47"/>
      <c r="E88" s="71"/>
      <c r="F88" s="47"/>
      <c r="G88" s="49"/>
      <c r="H88" s="50"/>
      <c r="I88" s="120"/>
      <c r="J88" s="88"/>
      <c r="K88" s="88"/>
      <c r="L88" s="88"/>
      <c r="M88" s="123"/>
      <c r="N88" s="88"/>
    </row>
    <row r="89" spans="1:14" ht="150" customHeight="1" x14ac:dyDescent="0.25">
      <c r="A89" s="49"/>
      <c r="B89" s="71"/>
      <c r="C89" s="49"/>
      <c r="D89" s="47"/>
      <c r="E89" s="71"/>
      <c r="F89" s="47"/>
      <c r="G89" s="49"/>
      <c r="H89" s="50"/>
      <c r="I89" s="120"/>
      <c r="J89" s="88"/>
      <c r="K89" s="88"/>
      <c r="L89" s="88"/>
      <c r="M89" s="123"/>
      <c r="N89" s="88"/>
    </row>
    <row r="90" spans="1:14" ht="150" customHeight="1" x14ac:dyDescent="0.25">
      <c r="A90" s="49"/>
      <c r="B90" s="71"/>
      <c r="C90" s="49"/>
      <c r="D90" s="47"/>
      <c r="E90" s="71"/>
      <c r="F90" s="47"/>
      <c r="G90" s="49"/>
      <c r="H90" s="50"/>
      <c r="I90" s="120"/>
      <c r="J90" s="88"/>
      <c r="K90" s="88"/>
      <c r="L90" s="88"/>
      <c r="M90" s="123"/>
      <c r="N90" s="88"/>
    </row>
    <row r="91" spans="1:14" ht="150" customHeight="1" x14ac:dyDescent="0.25">
      <c r="A91" s="49"/>
      <c r="B91" s="47"/>
      <c r="C91" s="49"/>
      <c r="D91" s="47"/>
      <c r="E91" s="71"/>
      <c r="F91" s="47"/>
      <c r="G91" s="49"/>
      <c r="H91" s="50"/>
      <c r="I91" s="120"/>
      <c r="J91" s="88"/>
      <c r="K91" s="88"/>
      <c r="L91" s="88"/>
      <c r="M91" s="123"/>
      <c r="N91" s="88"/>
    </row>
    <row r="92" spans="1:14" ht="150" customHeight="1" x14ac:dyDescent="0.25">
      <c r="A92" s="49"/>
      <c r="B92" s="47"/>
      <c r="C92" s="49"/>
      <c r="D92" s="47"/>
      <c r="E92" s="71"/>
      <c r="F92" s="47"/>
      <c r="G92" s="49"/>
      <c r="H92" s="50"/>
      <c r="I92" s="120"/>
      <c r="J92" s="88"/>
      <c r="K92" s="88"/>
      <c r="L92" s="88"/>
      <c r="M92" s="123"/>
      <c r="N92" s="88"/>
    </row>
    <row r="93" spans="1:14" ht="150" customHeight="1" x14ac:dyDescent="0.25">
      <c r="A93" s="49"/>
      <c r="B93" s="47"/>
      <c r="C93" s="49"/>
      <c r="D93" s="47"/>
      <c r="E93" s="71"/>
      <c r="F93" s="47"/>
      <c r="G93" s="49"/>
      <c r="H93" s="50"/>
      <c r="I93" s="120"/>
      <c r="J93" s="88"/>
      <c r="K93" s="88"/>
      <c r="L93" s="88"/>
      <c r="M93" s="123"/>
      <c r="N93" s="88"/>
    </row>
    <row r="94" spans="1:14" ht="150" customHeight="1" x14ac:dyDescent="0.25">
      <c r="A94" s="49"/>
      <c r="B94" s="47"/>
      <c r="C94" s="49"/>
      <c r="D94" s="47"/>
      <c r="E94" s="71"/>
      <c r="F94" s="47"/>
      <c r="G94" s="49"/>
      <c r="H94" s="50"/>
      <c r="I94" s="120"/>
      <c r="J94" s="88"/>
      <c r="K94" s="88"/>
      <c r="L94" s="88"/>
      <c r="M94" s="123"/>
      <c r="N94" s="88"/>
    </row>
    <row r="95" spans="1:14" ht="150" customHeight="1" x14ac:dyDescent="0.25">
      <c r="A95" s="49"/>
      <c r="B95" s="71"/>
      <c r="C95" s="49"/>
      <c r="D95" s="47"/>
      <c r="E95" s="71"/>
      <c r="F95" s="47"/>
      <c r="G95" s="49"/>
      <c r="H95" s="50"/>
      <c r="I95" s="120"/>
      <c r="J95" s="88"/>
      <c r="K95" s="88"/>
      <c r="L95" s="88"/>
      <c r="M95" s="123"/>
      <c r="N95" s="88"/>
    </row>
    <row r="96" spans="1:14" ht="150" customHeight="1" x14ac:dyDescent="0.25">
      <c r="A96" s="49"/>
      <c r="B96" s="47"/>
      <c r="C96" s="49"/>
      <c r="D96" s="47"/>
      <c r="E96" s="71"/>
      <c r="F96" s="47"/>
      <c r="G96" s="49"/>
      <c r="H96" s="50"/>
      <c r="I96" s="120"/>
      <c r="J96" s="88"/>
      <c r="K96" s="88"/>
      <c r="L96" s="88"/>
      <c r="M96" s="123"/>
      <c r="N96" s="88"/>
    </row>
    <row r="97" spans="1:14" ht="150" customHeight="1" x14ac:dyDescent="0.25">
      <c r="A97" s="49"/>
      <c r="B97" s="47"/>
      <c r="C97" s="49"/>
      <c r="D97" s="47"/>
      <c r="E97" s="71"/>
      <c r="F97" s="47"/>
      <c r="G97" s="49"/>
      <c r="H97" s="50"/>
      <c r="I97" s="120"/>
      <c r="J97" s="88"/>
      <c r="K97" s="88"/>
      <c r="L97" s="88"/>
      <c r="M97" s="123"/>
      <c r="N97" s="88"/>
    </row>
    <row r="98" spans="1:14" ht="150" customHeight="1" x14ac:dyDescent="0.25">
      <c r="A98" s="49"/>
      <c r="B98" s="47"/>
      <c r="C98" s="49"/>
      <c r="D98" s="47"/>
      <c r="E98" s="71"/>
      <c r="F98" s="47"/>
      <c r="G98" s="49"/>
      <c r="H98" s="50"/>
      <c r="I98" s="120"/>
      <c r="J98" s="88"/>
      <c r="K98" s="88"/>
      <c r="L98" s="88"/>
      <c r="M98" s="123"/>
      <c r="N98" s="88"/>
    </row>
    <row r="99" spans="1:14" ht="150" customHeight="1" x14ac:dyDescent="0.25">
      <c r="A99" s="49"/>
      <c r="B99" s="47"/>
      <c r="C99" s="49"/>
      <c r="D99" s="47"/>
      <c r="E99" s="71"/>
      <c r="F99" s="47"/>
      <c r="G99" s="49"/>
      <c r="H99" s="50"/>
      <c r="I99" s="120"/>
      <c r="J99" s="88"/>
      <c r="K99" s="88"/>
      <c r="L99" s="88"/>
      <c r="M99" s="123"/>
      <c r="N99" s="88"/>
    </row>
    <row r="100" spans="1:14" ht="150" customHeight="1" x14ac:dyDescent="0.25">
      <c r="A100" s="49"/>
      <c r="B100" s="47"/>
      <c r="C100" s="49"/>
      <c r="D100" s="47"/>
      <c r="E100" s="71"/>
      <c r="F100" s="47"/>
      <c r="G100" s="49"/>
      <c r="H100" s="50"/>
      <c r="I100" s="120"/>
      <c r="J100" s="88"/>
      <c r="K100" s="88"/>
      <c r="L100" s="88"/>
      <c r="M100" s="123"/>
      <c r="N100" s="88"/>
    </row>
    <row r="101" spans="1:14" ht="150" customHeight="1" x14ac:dyDescent="0.25">
      <c r="A101" s="49"/>
      <c r="B101" s="47"/>
      <c r="C101" s="49"/>
      <c r="D101" s="47"/>
      <c r="E101" s="71"/>
      <c r="F101" s="47"/>
      <c r="G101" s="49"/>
      <c r="H101" s="50"/>
      <c r="I101" s="120"/>
      <c r="J101" s="88"/>
      <c r="K101" s="88"/>
      <c r="L101" s="88"/>
      <c r="M101" s="123"/>
      <c r="N101" s="88"/>
    </row>
    <row r="102" spans="1:14" ht="150" customHeight="1" x14ac:dyDescent="0.25">
      <c r="A102" s="49"/>
      <c r="B102" s="47"/>
      <c r="C102" s="49"/>
      <c r="D102" s="47"/>
      <c r="E102" s="71"/>
      <c r="F102" s="47"/>
      <c r="G102" s="49"/>
      <c r="H102" s="50"/>
      <c r="I102" s="120"/>
      <c r="J102" s="88"/>
      <c r="K102" s="88"/>
      <c r="L102" s="88"/>
      <c r="M102" s="123"/>
      <c r="N102" s="88"/>
    </row>
    <row r="103" spans="1:14" ht="150" customHeight="1" x14ac:dyDescent="0.25">
      <c r="A103" s="49"/>
      <c r="B103" s="47"/>
      <c r="C103" s="49"/>
      <c r="D103" s="47"/>
      <c r="E103" s="71"/>
      <c r="F103" s="47"/>
      <c r="G103" s="49"/>
      <c r="H103" s="50"/>
      <c r="I103" s="120"/>
      <c r="J103" s="88"/>
      <c r="K103" s="88"/>
      <c r="L103" s="88"/>
      <c r="M103" s="123"/>
      <c r="N103" s="88"/>
    </row>
    <row r="104" spans="1:14" ht="150" customHeight="1" x14ac:dyDescent="0.25">
      <c r="A104" s="49"/>
      <c r="B104" s="71"/>
      <c r="C104" s="49"/>
      <c r="D104" s="47"/>
      <c r="E104" s="71"/>
      <c r="F104" s="47"/>
      <c r="G104" s="49"/>
      <c r="H104" s="50"/>
      <c r="I104" s="120"/>
      <c r="J104" s="88"/>
      <c r="K104" s="88"/>
      <c r="L104" s="88"/>
      <c r="M104" s="123"/>
      <c r="N104" s="88"/>
    </row>
    <row r="105" spans="1:14" ht="150" customHeight="1" x14ac:dyDescent="0.25">
      <c r="A105" s="49"/>
      <c r="B105" s="71"/>
      <c r="C105" s="49"/>
      <c r="D105" s="47"/>
      <c r="E105" s="71"/>
      <c r="F105" s="47"/>
      <c r="G105" s="49"/>
      <c r="H105" s="50"/>
      <c r="I105" s="120"/>
      <c r="J105" s="88"/>
      <c r="K105" s="88"/>
      <c r="L105" s="88"/>
      <c r="M105" s="123"/>
      <c r="N105" s="88"/>
    </row>
    <row r="106" spans="1:14" ht="150" customHeight="1" x14ac:dyDescent="0.25">
      <c r="A106" s="49"/>
      <c r="B106" s="47"/>
      <c r="C106" s="49"/>
      <c r="D106" s="47"/>
      <c r="E106" s="71"/>
      <c r="F106" s="47"/>
      <c r="G106" s="49"/>
      <c r="H106" s="50"/>
      <c r="I106" s="120"/>
      <c r="J106" s="88"/>
      <c r="K106" s="88"/>
      <c r="L106" s="88"/>
      <c r="M106" s="123"/>
      <c r="N106" s="88"/>
    </row>
    <row r="107" spans="1:14" ht="150" customHeight="1" x14ac:dyDescent="0.25">
      <c r="A107" s="49"/>
      <c r="B107" s="71"/>
      <c r="C107" s="49"/>
      <c r="D107" s="47"/>
      <c r="E107" s="71"/>
      <c r="F107" s="47"/>
      <c r="G107" s="49"/>
      <c r="H107" s="50"/>
      <c r="I107" s="120"/>
      <c r="J107" s="88"/>
      <c r="K107" s="88"/>
      <c r="L107" s="88"/>
      <c r="M107" s="123"/>
      <c r="N107" s="88"/>
    </row>
    <row r="108" spans="1:14" ht="150" customHeight="1" x14ac:dyDescent="0.25">
      <c r="A108" s="49"/>
      <c r="B108" s="47"/>
      <c r="C108" s="49"/>
      <c r="D108" s="47"/>
      <c r="E108" s="71"/>
      <c r="F108" s="47"/>
      <c r="G108" s="49"/>
      <c r="H108" s="50"/>
      <c r="I108" s="120"/>
      <c r="J108" s="88"/>
      <c r="K108" s="88"/>
      <c r="L108" s="88"/>
      <c r="M108" s="123"/>
      <c r="N108" s="88"/>
    </row>
    <row r="109" spans="1:14" ht="150" customHeight="1" x14ac:dyDescent="0.25">
      <c r="A109" s="49"/>
      <c r="B109" s="71"/>
      <c r="C109" s="49"/>
      <c r="D109" s="47"/>
      <c r="E109" s="71"/>
      <c r="F109" s="47"/>
      <c r="G109" s="49"/>
      <c r="H109" s="50"/>
      <c r="I109" s="120"/>
      <c r="J109" s="88"/>
      <c r="K109" s="88"/>
      <c r="L109" s="88"/>
      <c r="M109" s="123"/>
      <c r="N109" s="88"/>
    </row>
    <row r="110" spans="1:14" ht="150" customHeight="1" x14ac:dyDescent="0.25">
      <c r="A110" s="49"/>
      <c r="B110" s="47"/>
      <c r="C110" s="49"/>
      <c r="D110" s="47"/>
      <c r="E110" s="71"/>
      <c r="F110" s="47"/>
      <c r="G110" s="49"/>
      <c r="H110" s="50"/>
      <c r="I110" s="120"/>
      <c r="J110" s="88"/>
      <c r="K110" s="88"/>
      <c r="L110" s="88"/>
      <c r="M110" s="123"/>
      <c r="N110" s="88"/>
    </row>
    <row r="111" spans="1:14" ht="150" customHeight="1" x14ac:dyDescent="0.25">
      <c r="A111" s="49"/>
      <c r="B111" s="47"/>
      <c r="C111" s="49"/>
      <c r="D111" s="47"/>
      <c r="E111" s="71"/>
      <c r="F111" s="47"/>
      <c r="G111" s="49"/>
      <c r="H111" s="50"/>
      <c r="I111" s="120"/>
      <c r="J111" s="88"/>
      <c r="K111" s="88"/>
      <c r="L111" s="88"/>
      <c r="M111" s="123"/>
      <c r="N111" s="88"/>
    </row>
    <row r="112" spans="1:14" ht="150" customHeight="1" x14ac:dyDescent="0.25">
      <c r="A112" s="49"/>
      <c r="B112" s="47"/>
      <c r="C112" s="49"/>
      <c r="D112" s="47"/>
      <c r="E112" s="62"/>
      <c r="F112" s="49"/>
      <c r="G112" s="49"/>
      <c r="H112" s="50"/>
      <c r="I112" s="120"/>
      <c r="J112" s="88"/>
      <c r="K112" s="88"/>
      <c r="L112" s="88"/>
      <c r="M112" s="123"/>
      <c r="N112" s="88"/>
    </row>
    <row r="113" spans="1:14" ht="150" customHeight="1" x14ac:dyDescent="0.25">
      <c r="A113" s="49"/>
      <c r="B113" s="47"/>
      <c r="C113" s="49"/>
      <c r="D113" s="47"/>
      <c r="E113" s="62"/>
      <c r="F113" s="49"/>
      <c r="G113" s="49"/>
      <c r="H113" s="50"/>
      <c r="I113" s="120"/>
      <c r="J113" s="88"/>
      <c r="K113" s="88"/>
      <c r="L113" s="88"/>
      <c r="M113" s="123"/>
      <c r="N113" s="88"/>
    </row>
    <row r="114" spans="1:14" ht="150" customHeight="1" x14ac:dyDescent="0.25">
      <c r="A114" s="49"/>
      <c r="B114" s="47"/>
      <c r="C114" s="49"/>
      <c r="D114" s="47"/>
      <c r="E114" s="62"/>
      <c r="F114" s="49"/>
      <c r="G114" s="49"/>
      <c r="H114" s="50"/>
      <c r="I114" s="120"/>
      <c r="J114" s="88"/>
      <c r="K114" s="88"/>
      <c r="L114" s="88"/>
      <c r="M114" s="123"/>
      <c r="N114" s="88"/>
    </row>
    <row r="115" spans="1:14" ht="150" customHeight="1" x14ac:dyDescent="0.25">
      <c r="A115" s="49"/>
      <c r="B115" s="47"/>
      <c r="C115" s="49"/>
      <c r="D115" s="47"/>
      <c r="E115" s="62"/>
      <c r="F115" s="49"/>
      <c r="G115" s="49"/>
      <c r="H115" s="50"/>
      <c r="I115" s="120"/>
      <c r="J115" s="88"/>
      <c r="K115" s="88"/>
      <c r="L115" s="88"/>
      <c r="M115" s="123"/>
      <c r="N115" s="88"/>
    </row>
    <row r="116" spans="1:14" ht="150" customHeight="1" x14ac:dyDescent="0.25">
      <c r="A116" s="49"/>
      <c r="B116" s="47"/>
      <c r="C116" s="49"/>
      <c r="D116" s="47"/>
      <c r="E116" s="62"/>
      <c r="F116" s="49"/>
      <c r="G116" s="49"/>
      <c r="H116" s="50"/>
      <c r="I116" s="120"/>
      <c r="J116" s="88"/>
      <c r="K116" s="88"/>
      <c r="L116" s="88"/>
      <c r="M116" s="123"/>
      <c r="N116" s="88"/>
    </row>
    <row r="117" spans="1:14" ht="150" customHeight="1" x14ac:dyDescent="0.25">
      <c r="A117" s="49"/>
      <c r="B117" s="47"/>
      <c r="C117" s="49"/>
      <c r="D117" s="47"/>
      <c r="E117" s="62"/>
      <c r="F117" s="49"/>
      <c r="G117" s="49"/>
      <c r="H117" s="50"/>
      <c r="I117" s="120"/>
      <c r="J117" s="88"/>
      <c r="K117" s="88"/>
      <c r="L117" s="88"/>
      <c r="M117" s="123"/>
      <c r="N117" s="88"/>
    </row>
    <row r="118" spans="1:14" ht="150" customHeight="1" x14ac:dyDescent="0.25">
      <c r="A118" s="49"/>
      <c r="B118" s="47"/>
      <c r="C118" s="49"/>
      <c r="D118" s="47"/>
      <c r="E118" s="62"/>
      <c r="F118" s="49"/>
      <c r="G118" s="49"/>
      <c r="H118" s="50"/>
      <c r="I118" s="120"/>
      <c r="J118" s="88"/>
      <c r="K118" s="88"/>
      <c r="L118" s="88"/>
      <c r="M118" s="123"/>
      <c r="N118" s="88"/>
    </row>
    <row r="119" spans="1:14" ht="150" customHeight="1" x14ac:dyDescent="0.25">
      <c r="A119" s="49"/>
      <c r="B119" s="47"/>
      <c r="C119" s="49"/>
      <c r="D119" s="47"/>
      <c r="E119" s="62"/>
      <c r="F119" s="49"/>
      <c r="G119" s="49"/>
      <c r="H119" s="50"/>
      <c r="I119" s="120"/>
      <c r="J119" s="88"/>
      <c r="K119" s="88"/>
      <c r="L119" s="88"/>
      <c r="M119" s="123"/>
      <c r="N119" s="88"/>
    </row>
    <row r="120" spans="1:14" ht="150" customHeight="1" x14ac:dyDescent="0.25">
      <c r="A120" s="49"/>
      <c r="B120" s="47"/>
      <c r="C120" s="49"/>
      <c r="D120" s="47"/>
      <c r="E120" s="62"/>
      <c r="F120" s="49"/>
      <c r="G120" s="49"/>
      <c r="H120" s="50"/>
      <c r="I120" s="120"/>
      <c r="J120" s="88"/>
      <c r="K120" s="88"/>
      <c r="L120" s="88"/>
      <c r="M120" s="123"/>
      <c r="N120" s="88"/>
    </row>
    <row r="121" spans="1:14" ht="150" customHeight="1" x14ac:dyDescent="0.25">
      <c r="A121" s="49"/>
      <c r="B121" s="47"/>
      <c r="C121" s="49"/>
      <c r="D121" s="47"/>
      <c r="E121" s="62"/>
      <c r="F121" s="49"/>
      <c r="G121" s="49"/>
      <c r="H121" s="50"/>
      <c r="I121" s="120"/>
      <c r="J121" s="88"/>
      <c r="K121" s="88"/>
      <c r="L121" s="88"/>
      <c r="M121" s="123"/>
      <c r="N121" s="88"/>
    </row>
    <row r="122" spans="1:14" ht="150" customHeight="1" x14ac:dyDescent="0.25">
      <c r="A122" s="49"/>
      <c r="B122" s="47"/>
      <c r="C122" s="49"/>
      <c r="D122" s="47"/>
      <c r="E122" s="62"/>
      <c r="F122" s="49"/>
      <c r="G122" s="49"/>
      <c r="H122" s="50"/>
      <c r="I122" s="120"/>
      <c r="J122" s="88"/>
      <c r="K122" s="88"/>
      <c r="L122" s="88"/>
      <c r="M122" s="123"/>
      <c r="N122" s="88"/>
    </row>
    <row r="123" spans="1:14" ht="150" customHeight="1" x14ac:dyDescent="0.25">
      <c r="A123" s="49"/>
      <c r="B123" s="47"/>
      <c r="C123" s="49"/>
      <c r="D123" s="47"/>
      <c r="E123" s="62"/>
      <c r="F123" s="49"/>
      <c r="G123" s="49"/>
      <c r="H123" s="50"/>
      <c r="I123" s="120"/>
      <c r="J123" s="88"/>
      <c r="K123" s="88"/>
      <c r="L123" s="88"/>
      <c r="M123" s="123"/>
      <c r="N123" s="88"/>
    </row>
    <row r="124" spans="1:14" ht="150" customHeight="1" x14ac:dyDescent="0.25">
      <c r="A124" s="49"/>
      <c r="B124" s="47"/>
      <c r="C124" s="49"/>
      <c r="D124" s="47"/>
      <c r="E124" s="62"/>
      <c r="F124" s="49"/>
      <c r="G124" s="49"/>
      <c r="H124" s="50"/>
      <c r="I124" s="120"/>
      <c r="J124" s="88"/>
      <c r="K124" s="88"/>
      <c r="L124" s="88"/>
      <c r="M124" s="123"/>
      <c r="N124" s="88"/>
    </row>
    <row r="125" spans="1:14" ht="150" customHeight="1" x14ac:dyDescent="0.25">
      <c r="A125" s="49"/>
      <c r="B125" s="47"/>
      <c r="C125" s="49"/>
      <c r="D125" s="47"/>
      <c r="E125" s="62"/>
      <c r="F125" s="49"/>
      <c r="G125" s="49"/>
      <c r="H125" s="50"/>
      <c r="I125" s="120"/>
      <c r="J125" s="88"/>
      <c r="K125" s="88"/>
      <c r="L125" s="88"/>
      <c r="M125" s="123"/>
      <c r="N125" s="88"/>
    </row>
    <row r="126" spans="1:14" ht="150" customHeight="1" x14ac:dyDescent="0.25">
      <c r="A126" s="49"/>
      <c r="B126" s="47"/>
      <c r="C126" s="49"/>
      <c r="D126" s="47"/>
      <c r="E126" s="62"/>
      <c r="F126" s="49"/>
      <c r="G126" s="49"/>
      <c r="H126" s="50"/>
      <c r="I126" s="120"/>
      <c r="J126" s="88"/>
      <c r="K126" s="88"/>
      <c r="L126" s="88"/>
      <c r="M126" s="123"/>
      <c r="N126" s="88"/>
    </row>
    <row r="127" spans="1:14" ht="150" customHeight="1" x14ac:dyDescent="0.25">
      <c r="A127" s="49"/>
      <c r="B127" s="47"/>
      <c r="C127" s="49"/>
      <c r="D127" s="47"/>
      <c r="E127" s="62"/>
      <c r="F127" s="49"/>
      <c r="G127" s="49"/>
      <c r="H127" s="50"/>
      <c r="I127" s="120"/>
      <c r="J127" s="88"/>
      <c r="K127" s="88"/>
      <c r="L127" s="88"/>
      <c r="M127" s="123"/>
      <c r="N127" s="88"/>
    </row>
    <row r="128" spans="1:14" ht="150" customHeight="1" x14ac:dyDescent="0.25">
      <c r="A128" s="49"/>
      <c r="B128" s="47"/>
      <c r="C128" s="49"/>
      <c r="D128" s="47"/>
      <c r="E128" s="62"/>
      <c r="F128" s="49"/>
      <c r="G128" s="49"/>
      <c r="H128" s="50"/>
      <c r="I128" s="120"/>
      <c r="J128" s="88"/>
      <c r="K128" s="88"/>
      <c r="L128" s="88"/>
      <c r="M128" s="123"/>
      <c r="N128" s="88"/>
    </row>
    <row r="129" spans="1:14" ht="150" customHeight="1" x14ac:dyDescent="0.25">
      <c r="A129" s="49"/>
      <c r="B129" s="47"/>
      <c r="C129" s="49"/>
      <c r="D129" s="47"/>
      <c r="E129" s="62"/>
      <c r="F129" s="49"/>
      <c r="G129" s="49"/>
      <c r="H129" s="50"/>
      <c r="I129" s="120"/>
      <c r="J129" s="88"/>
      <c r="K129" s="88"/>
      <c r="L129" s="88"/>
      <c r="M129" s="123"/>
      <c r="N129" s="88"/>
    </row>
    <row r="130" spans="1:14" ht="150" customHeight="1" x14ac:dyDescent="0.25">
      <c r="A130" s="49"/>
      <c r="B130" s="47"/>
      <c r="C130" s="49"/>
      <c r="D130" s="47"/>
      <c r="E130" s="62"/>
      <c r="F130" s="49"/>
      <c r="G130" s="49"/>
      <c r="H130" s="50"/>
      <c r="I130" s="120"/>
      <c r="J130" s="88"/>
      <c r="K130" s="88"/>
      <c r="L130" s="88"/>
      <c r="M130" s="123"/>
      <c r="N130" s="88"/>
    </row>
    <row r="131" spans="1:14" ht="150" customHeight="1" x14ac:dyDescent="0.25">
      <c r="A131" s="49"/>
      <c r="B131" s="47"/>
      <c r="C131" s="49"/>
      <c r="D131" s="47"/>
      <c r="E131" s="62"/>
      <c r="F131" s="49"/>
      <c r="G131" s="49"/>
      <c r="H131" s="50"/>
      <c r="I131" s="120"/>
      <c r="J131" s="88"/>
      <c r="K131" s="88"/>
      <c r="L131" s="88"/>
      <c r="M131" s="123"/>
      <c r="N131" s="88"/>
    </row>
    <row r="132" spans="1:14" ht="150" customHeight="1" x14ac:dyDescent="0.25">
      <c r="A132" s="49"/>
      <c r="B132" s="47"/>
      <c r="C132" s="49"/>
      <c r="D132" s="47"/>
      <c r="E132" s="62"/>
      <c r="F132" s="49"/>
      <c r="G132" s="49"/>
      <c r="H132" s="50"/>
      <c r="I132" s="120"/>
      <c r="J132" s="88"/>
      <c r="K132" s="88"/>
      <c r="L132" s="88"/>
      <c r="M132" s="123"/>
      <c r="N132" s="88"/>
    </row>
    <row r="133" spans="1:14" ht="150" customHeight="1" x14ac:dyDescent="0.25">
      <c r="A133" s="49"/>
      <c r="B133" s="47"/>
      <c r="C133" s="49"/>
      <c r="D133" s="47"/>
      <c r="E133" s="62"/>
      <c r="F133" s="49"/>
      <c r="G133" s="49"/>
      <c r="H133" s="50"/>
      <c r="I133" s="120"/>
      <c r="J133" s="88"/>
      <c r="K133" s="88"/>
      <c r="L133" s="88"/>
      <c r="M133" s="123"/>
      <c r="N133" s="88"/>
    </row>
    <row r="134" spans="1:14" ht="150" customHeight="1" x14ac:dyDescent="0.25">
      <c r="A134" s="49"/>
      <c r="B134" s="47"/>
      <c r="C134" s="49"/>
      <c r="D134" s="47"/>
      <c r="E134" s="62"/>
      <c r="F134" s="49"/>
      <c r="G134" s="49"/>
      <c r="H134" s="50"/>
      <c r="I134" s="120"/>
      <c r="J134" s="88"/>
      <c r="K134" s="88"/>
      <c r="L134" s="88"/>
      <c r="M134" s="123"/>
      <c r="N134" s="88"/>
    </row>
    <row r="135" spans="1:14" ht="150" customHeight="1" x14ac:dyDescent="0.25">
      <c r="A135" s="49"/>
      <c r="B135" s="47"/>
      <c r="C135" s="49"/>
      <c r="D135" s="47"/>
      <c r="E135" s="62"/>
      <c r="F135" s="49"/>
      <c r="G135" s="49"/>
      <c r="H135" s="50"/>
      <c r="I135" s="120"/>
      <c r="J135" s="88"/>
      <c r="K135" s="88"/>
      <c r="L135" s="88"/>
      <c r="M135" s="123"/>
      <c r="N135" s="88"/>
    </row>
    <row r="136" spans="1:14" ht="150" customHeight="1" x14ac:dyDescent="0.25">
      <c r="A136" s="49"/>
      <c r="B136" s="47"/>
      <c r="C136" s="49"/>
      <c r="D136" s="47"/>
      <c r="E136" s="62"/>
      <c r="F136" s="49"/>
      <c r="G136" s="49"/>
      <c r="H136" s="50"/>
      <c r="I136" s="120"/>
      <c r="J136" s="88"/>
      <c r="K136" s="88"/>
      <c r="L136" s="88"/>
      <c r="M136" s="123"/>
      <c r="N136" s="88"/>
    </row>
    <row r="137" spans="1:14" ht="150" customHeight="1" x14ac:dyDescent="0.25">
      <c r="A137" s="49"/>
      <c r="B137" s="47"/>
      <c r="C137" s="49"/>
      <c r="D137" s="47"/>
      <c r="E137" s="62"/>
      <c r="F137" s="49"/>
      <c r="G137" s="49"/>
      <c r="H137" s="50"/>
      <c r="I137" s="120"/>
      <c r="J137" s="88"/>
      <c r="K137" s="88"/>
      <c r="L137" s="88"/>
      <c r="M137" s="123"/>
      <c r="N137" s="88"/>
    </row>
    <row r="138" spans="1:14" ht="150" customHeight="1" x14ac:dyDescent="0.25">
      <c r="A138" s="49"/>
      <c r="B138" s="47"/>
      <c r="C138" s="49"/>
      <c r="D138" s="47"/>
      <c r="E138" s="62"/>
      <c r="F138" s="49"/>
      <c r="G138" s="49"/>
      <c r="H138" s="50"/>
      <c r="I138" s="120"/>
      <c r="J138" s="88"/>
      <c r="K138" s="88"/>
      <c r="L138" s="88"/>
      <c r="M138" s="123"/>
      <c r="N138" s="88"/>
    </row>
    <row r="139" spans="1:14" ht="150" customHeight="1" x14ac:dyDescent="0.25">
      <c r="A139" s="49"/>
      <c r="B139" s="47"/>
      <c r="C139" s="49"/>
      <c r="D139" s="47"/>
      <c r="E139" s="62"/>
      <c r="F139" s="49"/>
      <c r="G139" s="49"/>
      <c r="H139" s="50"/>
      <c r="I139" s="120"/>
      <c r="J139" s="88"/>
      <c r="K139" s="88"/>
      <c r="L139" s="88"/>
      <c r="M139" s="123"/>
      <c r="N139" s="88"/>
    </row>
    <row r="140" spans="1:14" ht="150" customHeight="1" x14ac:dyDescent="0.25">
      <c r="A140" s="49"/>
      <c r="B140" s="47"/>
      <c r="C140" s="49"/>
      <c r="D140" s="47"/>
      <c r="E140" s="62"/>
      <c r="F140" s="49"/>
      <c r="G140" s="49"/>
      <c r="H140" s="50"/>
      <c r="I140" s="120"/>
      <c r="J140" s="88"/>
      <c r="K140" s="88"/>
      <c r="L140" s="88"/>
      <c r="M140" s="123"/>
      <c r="N140" s="88"/>
    </row>
    <row r="141" spans="1:14" ht="150" customHeight="1" x14ac:dyDescent="0.25">
      <c r="A141" s="49"/>
      <c r="B141" s="47"/>
      <c r="C141" s="49"/>
      <c r="D141" s="47"/>
      <c r="E141" s="62"/>
      <c r="F141" s="49"/>
      <c r="G141" s="49"/>
      <c r="H141" s="50"/>
      <c r="I141" s="120"/>
      <c r="J141" s="88"/>
      <c r="K141" s="88"/>
      <c r="L141" s="88"/>
      <c r="M141" s="123"/>
      <c r="N141" s="88"/>
    </row>
    <row r="142" spans="1:14" ht="150" customHeight="1" x14ac:dyDescent="0.25">
      <c r="A142" s="49"/>
      <c r="B142" s="47"/>
      <c r="C142" s="49"/>
      <c r="D142" s="47"/>
      <c r="E142" s="62"/>
      <c r="F142" s="49"/>
      <c r="G142" s="49"/>
      <c r="H142" s="50"/>
      <c r="I142" s="120"/>
      <c r="J142" s="88"/>
      <c r="K142" s="88"/>
      <c r="L142" s="88"/>
      <c r="M142" s="123"/>
      <c r="N142" s="88"/>
    </row>
    <row r="143" spans="1:14" ht="150" customHeight="1" x14ac:dyDescent="0.25">
      <c r="A143" s="49"/>
      <c r="B143" s="47"/>
      <c r="C143" s="49"/>
      <c r="D143" s="47"/>
      <c r="E143" s="62"/>
      <c r="F143" s="49"/>
      <c r="G143" s="49"/>
      <c r="H143" s="50"/>
      <c r="I143" s="120"/>
      <c r="J143" s="88"/>
      <c r="K143" s="88"/>
      <c r="L143" s="88"/>
      <c r="M143" s="123"/>
      <c r="N143" s="88"/>
    </row>
    <row r="144" spans="1:14" ht="150" customHeight="1" x14ac:dyDescent="0.25">
      <c r="A144" s="49"/>
      <c r="B144" s="47"/>
      <c r="C144" s="49"/>
      <c r="D144" s="47"/>
      <c r="E144" s="62"/>
      <c r="F144" s="49"/>
      <c r="G144" s="49"/>
      <c r="H144" s="50"/>
      <c r="I144" s="120"/>
      <c r="J144" s="88"/>
      <c r="K144" s="88"/>
      <c r="L144" s="88"/>
      <c r="M144" s="123"/>
      <c r="N144" s="88"/>
    </row>
    <row r="145" spans="1:14" ht="150" customHeight="1" x14ac:dyDescent="0.25">
      <c r="A145" s="49"/>
      <c r="B145" s="47"/>
      <c r="C145" s="49"/>
      <c r="D145" s="47"/>
      <c r="E145" s="62"/>
      <c r="F145" s="49"/>
      <c r="G145" s="49"/>
      <c r="H145" s="50"/>
      <c r="I145" s="120"/>
      <c r="J145" s="88"/>
      <c r="K145" s="88"/>
      <c r="L145" s="88"/>
      <c r="M145" s="123"/>
      <c r="N145" s="88"/>
    </row>
    <row r="146" spans="1:14" ht="150" customHeight="1" x14ac:dyDescent="0.25">
      <c r="A146" s="49"/>
      <c r="B146" s="47"/>
      <c r="C146" s="49"/>
      <c r="D146" s="47"/>
      <c r="E146" s="62"/>
      <c r="F146" s="49"/>
      <c r="G146" s="49"/>
      <c r="H146" s="50"/>
      <c r="I146" s="120"/>
      <c r="J146" s="88"/>
      <c r="K146" s="88"/>
      <c r="L146" s="88"/>
      <c r="M146" s="123"/>
      <c r="N146" s="88"/>
    </row>
    <row r="147" spans="1:14" ht="150" customHeight="1" x14ac:dyDescent="0.25">
      <c r="A147" s="49"/>
      <c r="B147" s="47"/>
      <c r="C147" s="49"/>
      <c r="D147" s="47"/>
      <c r="E147" s="62"/>
      <c r="F147" s="49"/>
      <c r="G147" s="49"/>
      <c r="H147" s="50"/>
      <c r="I147" s="120"/>
      <c r="J147" s="88"/>
      <c r="K147" s="88"/>
      <c r="L147" s="88"/>
      <c r="M147" s="123"/>
      <c r="N147" s="88"/>
    </row>
    <row r="148" spans="1:14" ht="150" customHeight="1" x14ac:dyDescent="0.25">
      <c r="A148" s="49"/>
      <c r="B148" s="47"/>
      <c r="C148" s="49"/>
      <c r="D148" s="47"/>
      <c r="E148" s="62"/>
      <c r="F148" s="49"/>
      <c r="G148" s="49"/>
      <c r="H148" s="50"/>
      <c r="I148" s="120"/>
      <c r="J148" s="88"/>
      <c r="K148" s="88"/>
      <c r="L148" s="88"/>
      <c r="M148" s="123"/>
      <c r="N148" s="88"/>
    </row>
    <row r="149" spans="1:14" ht="150" customHeight="1" x14ac:dyDescent="0.25">
      <c r="A149" s="49"/>
      <c r="B149" s="47"/>
      <c r="C149" s="49"/>
      <c r="D149" s="47"/>
      <c r="E149" s="62"/>
      <c r="F149" s="49"/>
      <c r="G149" s="49"/>
      <c r="H149" s="50"/>
      <c r="I149" s="120"/>
      <c r="J149" s="88"/>
      <c r="K149" s="88"/>
      <c r="L149" s="88"/>
      <c r="M149" s="123"/>
      <c r="N149" s="88"/>
    </row>
    <row r="150" spans="1:14" ht="150" customHeight="1" x14ac:dyDescent="0.25">
      <c r="A150" s="49"/>
      <c r="B150" s="47"/>
      <c r="C150" s="49"/>
      <c r="D150" s="47"/>
      <c r="E150" s="62"/>
      <c r="F150" s="49"/>
      <c r="G150" s="49"/>
      <c r="H150" s="50"/>
      <c r="I150" s="120"/>
      <c r="J150" s="88"/>
      <c r="K150" s="88"/>
      <c r="L150" s="88"/>
      <c r="M150" s="123"/>
      <c r="N150" s="88"/>
    </row>
    <row r="151" spans="1:14" ht="150" customHeight="1" x14ac:dyDescent="0.25">
      <c r="A151" s="49"/>
      <c r="B151" s="47"/>
      <c r="C151" s="49"/>
      <c r="D151" s="47"/>
      <c r="E151" s="62"/>
      <c r="F151" s="49"/>
      <c r="G151" s="49"/>
      <c r="H151" s="50"/>
      <c r="I151" s="120"/>
      <c r="J151" s="88"/>
      <c r="K151" s="88"/>
      <c r="L151" s="88"/>
      <c r="M151" s="123"/>
      <c r="N151" s="88"/>
    </row>
    <row r="152" spans="1:14" ht="150" customHeight="1" x14ac:dyDescent="0.25">
      <c r="A152" s="49"/>
      <c r="B152" s="47"/>
      <c r="C152" s="49"/>
      <c r="D152" s="47"/>
      <c r="E152" s="62"/>
      <c r="F152" s="49"/>
      <c r="G152" s="49"/>
      <c r="H152" s="50"/>
      <c r="I152" s="120"/>
      <c r="J152" s="88"/>
      <c r="K152" s="88"/>
      <c r="L152" s="88"/>
      <c r="M152" s="123"/>
      <c r="N152" s="88"/>
    </row>
    <row r="153" spans="1:14" ht="150" customHeight="1" x14ac:dyDescent="0.25">
      <c r="A153" s="49"/>
      <c r="B153" s="47"/>
      <c r="C153" s="49"/>
      <c r="D153" s="47"/>
      <c r="E153" s="62"/>
      <c r="F153" s="49"/>
      <c r="G153" s="49"/>
      <c r="H153" s="50"/>
      <c r="I153" s="120"/>
      <c r="J153" s="88"/>
      <c r="K153" s="88"/>
      <c r="L153" s="88"/>
      <c r="M153" s="123"/>
      <c r="N153" s="88"/>
    </row>
    <row r="154" spans="1:14" ht="150" customHeight="1" x14ac:dyDescent="0.25">
      <c r="A154" s="49"/>
      <c r="B154" s="47"/>
      <c r="C154" s="49"/>
      <c r="D154" s="47"/>
      <c r="E154" s="62"/>
      <c r="F154" s="49"/>
      <c r="G154" s="49"/>
      <c r="H154" s="50"/>
      <c r="I154" s="120"/>
      <c r="J154" s="88"/>
      <c r="K154" s="88"/>
      <c r="L154" s="88"/>
      <c r="M154" s="123"/>
      <c r="N154" s="88"/>
    </row>
    <row r="155" spans="1:14" ht="150" customHeight="1" x14ac:dyDescent="0.25">
      <c r="A155" s="49"/>
      <c r="B155" s="47"/>
      <c r="C155" s="49"/>
      <c r="D155" s="47"/>
      <c r="E155" s="62"/>
      <c r="F155" s="49"/>
      <c r="G155" s="49"/>
      <c r="H155" s="50"/>
      <c r="I155" s="120"/>
      <c r="J155" s="88"/>
      <c r="K155" s="88"/>
      <c r="L155" s="88"/>
      <c r="M155" s="123"/>
      <c r="N155" s="88"/>
    </row>
    <row r="156" spans="1:14" ht="150" customHeight="1" x14ac:dyDescent="0.25">
      <c r="A156" s="49"/>
      <c r="B156" s="47"/>
      <c r="C156" s="49"/>
      <c r="D156" s="47"/>
      <c r="E156" s="62"/>
      <c r="F156" s="49"/>
      <c r="G156" s="49"/>
      <c r="H156" s="50"/>
      <c r="I156" s="120"/>
      <c r="J156" s="88"/>
      <c r="K156" s="88"/>
      <c r="L156" s="88"/>
      <c r="M156" s="123"/>
      <c r="N156" s="88"/>
    </row>
    <row r="157" spans="1:14" ht="150" customHeight="1" x14ac:dyDescent="0.25">
      <c r="A157" s="49"/>
      <c r="B157" s="47"/>
      <c r="C157" s="49"/>
      <c r="D157" s="47"/>
      <c r="E157" s="62"/>
      <c r="F157" s="49"/>
      <c r="G157" s="49"/>
      <c r="H157" s="50"/>
      <c r="I157" s="120"/>
      <c r="J157" s="88"/>
      <c r="K157" s="88"/>
      <c r="L157" s="88"/>
      <c r="M157" s="123"/>
      <c r="N157" s="88"/>
    </row>
    <row r="158" spans="1:14" ht="150" customHeight="1" x14ac:dyDescent="0.25">
      <c r="A158" s="49"/>
      <c r="B158" s="47"/>
      <c r="C158" s="49"/>
      <c r="D158" s="47"/>
      <c r="E158" s="62"/>
      <c r="F158" s="49"/>
      <c r="G158" s="49"/>
      <c r="H158" s="50"/>
      <c r="I158" s="120"/>
      <c r="J158" s="88"/>
      <c r="K158" s="88"/>
      <c r="L158" s="88"/>
      <c r="M158" s="123"/>
      <c r="N158" s="88"/>
    </row>
    <row r="159" spans="1:14" ht="150" customHeight="1" x14ac:dyDescent="0.25">
      <c r="A159" s="49"/>
      <c r="B159" s="47"/>
      <c r="C159" s="49"/>
      <c r="D159" s="47"/>
      <c r="E159" s="62"/>
      <c r="F159" s="49"/>
      <c r="G159" s="49"/>
      <c r="H159" s="50"/>
      <c r="I159" s="120"/>
      <c r="J159" s="88"/>
      <c r="K159" s="88"/>
      <c r="L159" s="88"/>
      <c r="M159" s="123"/>
      <c r="N159" s="88"/>
    </row>
    <row r="160" spans="1:14" ht="150" customHeight="1" x14ac:dyDescent="0.25">
      <c r="A160" s="49"/>
      <c r="B160" s="47"/>
      <c r="C160" s="49"/>
      <c r="D160" s="47"/>
      <c r="E160" s="62"/>
      <c r="F160" s="49"/>
      <c r="G160" s="49"/>
      <c r="H160" s="50"/>
      <c r="I160" s="120"/>
      <c r="J160" s="88"/>
      <c r="K160" s="88"/>
      <c r="L160" s="88"/>
      <c r="M160" s="123"/>
      <c r="N160" s="88"/>
    </row>
    <row r="161" spans="1:14" ht="150" customHeight="1" x14ac:dyDescent="0.25">
      <c r="A161" s="49"/>
      <c r="B161" s="47"/>
      <c r="C161" s="49"/>
      <c r="D161" s="47"/>
      <c r="E161" s="62"/>
      <c r="F161" s="49"/>
      <c r="G161" s="49"/>
      <c r="H161" s="50"/>
      <c r="I161" s="120"/>
      <c r="J161" s="88"/>
      <c r="K161" s="88"/>
      <c r="L161" s="88"/>
      <c r="M161" s="123"/>
      <c r="N161" s="88"/>
    </row>
    <row r="162" spans="1:14" ht="150" customHeight="1" x14ac:dyDescent="0.25">
      <c r="A162" s="49"/>
      <c r="B162" s="47"/>
      <c r="C162" s="49"/>
      <c r="D162" s="47"/>
      <c r="E162" s="62"/>
      <c r="F162" s="49"/>
      <c r="G162" s="49"/>
      <c r="H162" s="50"/>
      <c r="I162" s="120"/>
      <c r="J162" s="88"/>
      <c r="K162" s="88"/>
      <c r="L162" s="88"/>
      <c r="M162" s="123"/>
      <c r="N162" s="88"/>
    </row>
    <row r="163" spans="1:14" ht="150" customHeight="1" x14ac:dyDescent="0.25">
      <c r="A163" s="49"/>
      <c r="B163" s="47"/>
      <c r="C163" s="49"/>
      <c r="D163" s="47"/>
      <c r="E163" s="62"/>
      <c r="F163" s="49"/>
      <c r="G163" s="49"/>
      <c r="H163" s="50"/>
      <c r="I163" s="120"/>
      <c r="J163" s="88"/>
      <c r="K163" s="88"/>
      <c r="L163" s="88"/>
      <c r="M163" s="123"/>
      <c r="N163" s="88"/>
    </row>
    <row r="164" spans="1:14" ht="150" customHeight="1" x14ac:dyDescent="0.25">
      <c r="A164" s="49"/>
      <c r="B164" s="47"/>
      <c r="C164" s="49"/>
      <c r="D164" s="47"/>
      <c r="E164" s="62"/>
      <c r="F164" s="49"/>
      <c r="G164" s="49"/>
      <c r="H164" s="50"/>
      <c r="I164" s="120"/>
      <c r="J164" s="88"/>
      <c r="K164" s="88"/>
      <c r="L164" s="88"/>
      <c r="M164" s="123"/>
      <c r="N164" s="88"/>
    </row>
    <row r="165" spans="1:14" ht="150" customHeight="1" x14ac:dyDescent="0.25">
      <c r="A165" s="49"/>
      <c r="B165" s="47"/>
      <c r="C165" s="49"/>
      <c r="D165" s="47"/>
      <c r="E165" s="62"/>
      <c r="F165" s="49"/>
      <c r="G165" s="49"/>
      <c r="H165" s="50"/>
      <c r="I165" s="120"/>
      <c r="J165" s="88"/>
      <c r="K165" s="88"/>
      <c r="L165" s="88"/>
      <c r="M165" s="123"/>
      <c r="N165" s="88"/>
    </row>
    <row r="166" spans="1:14" ht="150" customHeight="1" x14ac:dyDescent="0.25">
      <c r="A166" s="49"/>
      <c r="B166" s="47"/>
      <c r="C166" s="49"/>
      <c r="D166" s="47"/>
      <c r="E166" s="62"/>
      <c r="F166" s="49"/>
      <c r="G166" s="49"/>
      <c r="H166" s="50"/>
      <c r="I166" s="120"/>
      <c r="J166" s="88"/>
      <c r="K166" s="88"/>
      <c r="L166" s="88"/>
      <c r="M166" s="123"/>
      <c r="N166" s="88"/>
    </row>
    <row r="167" spans="1:14" ht="150" customHeight="1" x14ac:dyDescent="0.25">
      <c r="A167" s="49"/>
      <c r="B167" s="47"/>
      <c r="C167" s="49"/>
      <c r="D167" s="47"/>
      <c r="E167" s="62"/>
      <c r="F167" s="49"/>
      <c r="G167" s="49"/>
      <c r="H167" s="50"/>
      <c r="I167" s="120"/>
      <c r="J167" s="88"/>
      <c r="K167" s="88"/>
      <c r="L167" s="88"/>
      <c r="M167" s="123"/>
      <c r="N167" s="88"/>
    </row>
    <row r="168" spans="1:14" ht="150" customHeight="1" x14ac:dyDescent="0.25">
      <c r="A168" s="49"/>
      <c r="B168" s="47"/>
      <c r="C168" s="49"/>
      <c r="D168" s="47"/>
      <c r="E168" s="62"/>
      <c r="F168" s="49"/>
      <c r="G168" s="49"/>
      <c r="H168" s="50"/>
      <c r="I168" s="120"/>
      <c r="J168" s="88"/>
      <c r="K168" s="88"/>
      <c r="L168" s="88"/>
      <c r="M168" s="123"/>
      <c r="N168" s="88"/>
    </row>
    <row r="169" spans="1:14" ht="150" customHeight="1" x14ac:dyDescent="0.25">
      <c r="A169" s="49"/>
      <c r="B169" s="47"/>
      <c r="C169" s="49"/>
      <c r="D169" s="47"/>
      <c r="E169" s="62"/>
      <c r="F169" s="49"/>
      <c r="G169" s="49"/>
      <c r="H169" s="50"/>
      <c r="I169" s="120"/>
      <c r="J169" s="88"/>
      <c r="K169" s="88"/>
      <c r="L169" s="88"/>
      <c r="M169" s="123"/>
      <c r="N169" s="88"/>
    </row>
    <row r="170" spans="1:14" ht="150" customHeight="1" x14ac:dyDescent="0.25">
      <c r="A170" s="49"/>
      <c r="B170" s="47"/>
      <c r="C170" s="49"/>
      <c r="D170" s="47"/>
      <c r="E170" s="62"/>
      <c r="F170" s="49"/>
      <c r="G170" s="49"/>
      <c r="H170" s="50"/>
      <c r="I170" s="120"/>
      <c r="J170" s="88"/>
      <c r="K170" s="88"/>
      <c r="L170" s="88"/>
      <c r="M170" s="123"/>
      <c r="N170" s="88"/>
    </row>
    <row r="171" spans="1:14" ht="150" customHeight="1" x14ac:dyDescent="0.25">
      <c r="A171" s="49"/>
      <c r="B171" s="47"/>
      <c r="C171" s="49"/>
      <c r="D171" s="47"/>
      <c r="E171" s="62"/>
      <c r="F171" s="49"/>
      <c r="G171" s="49"/>
      <c r="H171" s="50"/>
      <c r="I171" s="120"/>
      <c r="J171" s="88"/>
      <c r="K171" s="88"/>
      <c r="L171" s="88"/>
      <c r="M171" s="123"/>
      <c r="N171" s="88"/>
    </row>
    <row r="172" spans="1:14" ht="150" customHeight="1" x14ac:dyDescent="0.25">
      <c r="A172" s="49"/>
      <c r="B172" s="47"/>
      <c r="C172" s="49"/>
      <c r="D172" s="47"/>
      <c r="E172" s="62"/>
      <c r="F172" s="49"/>
      <c r="G172" s="49"/>
      <c r="H172" s="50"/>
      <c r="I172" s="120"/>
      <c r="J172" s="88"/>
      <c r="K172" s="88"/>
      <c r="L172" s="88"/>
      <c r="M172" s="123"/>
      <c r="N172" s="88"/>
    </row>
    <row r="173" spans="1:14" ht="150" customHeight="1" x14ac:dyDescent="0.25">
      <c r="A173" s="49"/>
      <c r="B173" s="47"/>
      <c r="C173" s="49"/>
      <c r="D173" s="47"/>
      <c r="E173" s="62"/>
      <c r="F173" s="49"/>
      <c r="G173" s="49"/>
      <c r="H173" s="50"/>
      <c r="I173" s="120"/>
      <c r="J173" s="88"/>
      <c r="K173" s="88"/>
      <c r="L173" s="88"/>
      <c r="M173" s="123"/>
      <c r="N173" s="88"/>
    </row>
    <row r="174" spans="1:14" ht="150" customHeight="1" x14ac:dyDescent="0.25">
      <c r="A174" s="49"/>
      <c r="B174" s="47"/>
      <c r="C174" s="49"/>
      <c r="D174" s="47"/>
      <c r="E174" s="62"/>
      <c r="F174" s="49"/>
      <c r="G174" s="49"/>
      <c r="H174" s="50"/>
      <c r="I174" s="120"/>
      <c r="J174" s="88"/>
      <c r="K174" s="88"/>
      <c r="L174" s="88"/>
      <c r="M174" s="123"/>
      <c r="N174" s="88"/>
    </row>
    <row r="175" spans="1:14" ht="150" customHeight="1" x14ac:dyDescent="0.25">
      <c r="A175" s="49"/>
      <c r="B175" s="47"/>
      <c r="C175" s="49"/>
      <c r="D175" s="47"/>
      <c r="E175" s="62"/>
      <c r="F175" s="49"/>
      <c r="G175" s="49"/>
      <c r="H175" s="50"/>
      <c r="I175" s="120"/>
      <c r="J175" s="88"/>
      <c r="K175" s="88"/>
      <c r="L175" s="88"/>
      <c r="M175" s="123"/>
      <c r="N175" s="88"/>
    </row>
    <row r="176" spans="1:14" ht="150" customHeight="1" x14ac:dyDescent="0.25">
      <c r="A176" s="49"/>
      <c r="B176" s="47"/>
      <c r="C176" s="49"/>
      <c r="D176" s="47"/>
      <c r="E176" s="62"/>
      <c r="F176" s="49"/>
      <c r="G176" s="49"/>
      <c r="H176" s="50"/>
      <c r="I176" s="120"/>
      <c r="J176" s="88"/>
      <c r="K176" s="88"/>
      <c r="L176" s="88"/>
      <c r="M176" s="123"/>
      <c r="N176" s="88"/>
    </row>
    <row r="177" spans="1:14" ht="150" customHeight="1" x14ac:dyDescent="0.25">
      <c r="A177" s="49"/>
      <c r="B177" s="47"/>
      <c r="C177" s="49"/>
      <c r="D177" s="47"/>
      <c r="E177" s="62"/>
      <c r="F177" s="49"/>
      <c r="G177" s="49"/>
      <c r="H177" s="50"/>
      <c r="I177" s="120"/>
      <c r="J177" s="88"/>
      <c r="K177" s="88"/>
      <c r="L177" s="88"/>
      <c r="M177" s="123"/>
      <c r="N177" s="88"/>
    </row>
    <row r="178" spans="1:14" ht="150" customHeight="1" x14ac:dyDescent="0.25">
      <c r="A178" s="49"/>
      <c r="B178" s="47"/>
      <c r="C178" s="49"/>
      <c r="D178" s="47"/>
      <c r="E178" s="62"/>
      <c r="F178" s="49"/>
      <c r="G178" s="49"/>
      <c r="H178" s="50"/>
      <c r="I178" s="120"/>
      <c r="J178" s="88"/>
      <c r="K178" s="88"/>
      <c r="L178" s="88"/>
      <c r="M178" s="123"/>
      <c r="N178" s="88"/>
    </row>
    <row r="179" spans="1:14" ht="150" customHeight="1" x14ac:dyDescent="0.25">
      <c r="A179" s="49"/>
      <c r="B179" s="47"/>
      <c r="C179" s="49"/>
      <c r="D179" s="47"/>
      <c r="E179" s="62"/>
      <c r="F179" s="49"/>
      <c r="G179" s="49"/>
      <c r="H179" s="50"/>
      <c r="I179" s="120"/>
      <c r="J179" s="88"/>
      <c r="K179" s="88"/>
      <c r="L179" s="88"/>
      <c r="M179" s="123"/>
      <c r="N179" s="88"/>
    </row>
    <row r="180" spans="1:14" ht="150" customHeight="1" x14ac:dyDescent="0.25">
      <c r="A180" s="49"/>
      <c r="B180" s="47"/>
      <c r="C180" s="49"/>
      <c r="D180" s="47"/>
      <c r="E180" s="62"/>
      <c r="F180" s="49"/>
      <c r="G180" s="49"/>
      <c r="H180" s="50"/>
      <c r="I180" s="120"/>
      <c r="J180" s="88"/>
      <c r="K180" s="88"/>
      <c r="L180" s="88"/>
      <c r="M180" s="123"/>
      <c r="N180" s="88"/>
    </row>
    <row r="181" spans="1:14" ht="150" customHeight="1" x14ac:dyDescent="0.25">
      <c r="A181" s="49"/>
      <c r="B181" s="47"/>
      <c r="C181" s="49"/>
      <c r="D181" s="47"/>
      <c r="E181" s="62"/>
      <c r="F181" s="49"/>
      <c r="G181" s="49"/>
      <c r="H181" s="50"/>
      <c r="I181" s="120"/>
      <c r="J181" s="88"/>
      <c r="K181" s="88"/>
      <c r="L181" s="88"/>
      <c r="M181" s="123"/>
      <c r="N181" s="88"/>
    </row>
    <row r="182" spans="1:14" ht="150" customHeight="1" x14ac:dyDescent="0.25">
      <c r="A182" s="49"/>
      <c r="B182" s="47"/>
      <c r="C182" s="49"/>
      <c r="D182" s="47"/>
      <c r="E182" s="62"/>
      <c r="F182" s="49"/>
      <c r="G182" s="49"/>
      <c r="H182" s="50"/>
      <c r="I182" s="120"/>
      <c r="J182" s="88"/>
      <c r="K182" s="88"/>
      <c r="L182" s="88"/>
      <c r="M182" s="123"/>
      <c r="N182" s="88"/>
    </row>
    <row r="183" spans="1:14" ht="150" customHeight="1" x14ac:dyDescent="0.25">
      <c r="A183" s="49"/>
      <c r="B183" s="47"/>
      <c r="C183" s="49"/>
      <c r="D183" s="47"/>
      <c r="E183" s="62"/>
      <c r="F183" s="49"/>
      <c r="G183" s="49"/>
      <c r="H183" s="50"/>
      <c r="I183" s="120"/>
      <c r="J183" s="88"/>
      <c r="K183" s="88"/>
      <c r="L183" s="88"/>
      <c r="M183" s="123"/>
      <c r="N183" s="88"/>
    </row>
    <row r="184" spans="1:14" ht="150" customHeight="1" x14ac:dyDescent="0.25">
      <c r="A184" s="49"/>
      <c r="B184" s="47"/>
      <c r="C184" s="49"/>
      <c r="D184" s="47"/>
      <c r="E184" s="62"/>
      <c r="F184" s="49"/>
      <c r="G184" s="49"/>
      <c r="H184" s="50"/>
      <c r="I184" s="120"/>
      <c r="J184" s="88"/>
      <c r="K184" s="88"/>
      <c r="L184" s="88"/>
      <c r="M184" s="123"/>
      <c r="N184" s="88"/>
    </row>
    <row r="185" spans="1:14" ht="150" customHeight="1" x14ac:dyDescent="0.25">
      <c r="A185" s="49"/>
      <c r="B185" s="47"/>
      <c r="C185" s="49"/>
      <c r="D185" s="47"/>
      <c r="E185" s="62"/>
      <c r="F185" s="49"/>
      <c r="G185" s="49"/>
      <c r="H185" s="50"/>
      <c r="I185" s="120"/>
      <c r="J185" s="88"/>
      <c r="K185" s="88"/>
      <c r="L185" s="88"/>
      <c r="M185" s="123"/>
      <c r="N185" s="88"/>
    </row>
    <row r="186" spans="1:14" ht="150" customHeight="1" x14ac:dyDescent="0.25">
      <c r="A186" s="49"/>
      <c r="B186" s="47"/>
      <c r="C186" s="49"/>
      <c r="D186" s="47"/>
      <c r="E186" s="62"/>
      <c r="F186" s="49"/>
      <c r="G186" s="49"/>
      <c r="H186" s="50"/>
      <c r="I186" s="120"/>
      <c r="J186" s="88"/>
      <c r="K186" s="88"/>
      <c r="L186" s="88"/>
      <c r="M186" s="123"/>
      <c r="N186" s="88"/>
    </row>
    <row r="187" spans="1:14" ht="150" customHeight="1" x14ac:dyDescent="0.25">
      <c r="A187" s="49"/>
      <c r="B187" s="47"/>
      <c r="C187" s="49"/>
      <c r="D187" s="47"/>
      <c r="E187" s="62"/>
      <c r="F187" s="49"/>
      <c r="G187" s="49"/>
      <c r="H187" s="50"/>
      <c r="I187" s="120"/>
      <c r="J187" s="88"/>
      <c r="K187" s="88"/>
      <c r="L187" s="88"/>
      <c r="M187" s="123"/>
      <c r="N187" s="88"/>
    </row>
    <row r="188" spans="1:14" ht="150" customHeight="1" x14ac:dyDescent="0.25">
      <c r="A188" s="49"/>
      <c r="B188" s="47"/>
      <c r="C188" s="49"/>
      <c r="D188" s="47"/>
      <c r="E188" s="62"/>
      <c r="F188" s="49"/>
      <c r="G188" s="49"/>
      <c r="H188" s="50"/>
      <c r="I188" s="120"/>
      <c r="J188" s="88"/>
      <c r="K188" s="88"/>
      <c r="L188" s="88"/>
      <c r="M188" s="123"/>
      <c r="N188" s="88"/>
    </row>
    <row r="189" spans="1:14" ht="150" customHeight="1" x14ac:dyDescent="0.25">
      <c r="A189" s="49"/>
      <c r="B189" s="47"/>
      <c r="C189" s="49"/>
      <c r="D189" s="47"/>
      <c r="E189" s="62"/>
      <c r="F189" s="49"/>
      <c r="G189" s="49"/>
      <c r="H189" s="50"/>
      <c r="I189" s="120"/>
      <c r="J189" s="88"/>
      <c r="K189" s="88"/>
      <c r="L189" s="88"/>
      <c r="M189" s="123"/>
      <c r="N189" s="88"/>
    </row>
    <row r="190" spans="1:14" ht="150" customHeight="1" x14ac:dyDescent="0.25">
      <c r="A190" s="49"/>
      <c r="B190" s="47"/>
      <c r="C190" s="49"/>
      <c r="D190" s="47"/>
      <c r="E190" s="62"/>
      <c r="F190" s="49"/>
      <c r="G190" s="49"/>
      <c r="H190" s="50"/>
      <c r="I190" s="120"/>
      <c r="J190" s="88"/>
      <c r="K190" s="88"/>
      <c r="L190" s="88"/>
      <c r="M190" s="123"/>
      <c r="N190" s="88"/>
    </row>
    <row r="191" spans="1:14" ht="150" customHeight="1" x14ac:dyDescent="0.25">
      <c r="A191" s="49"/>
      <c r="B191" s="47"/>
      <c r="C191" s="49"/>
      <c r="D191" s="47"/>
      <c r="E191" s="62"/>
      <c r="F191" s="49"/>
      <c r="G191" s="49"/>
      <c r="H191" s="50"/>
      <c r="I191" s="120"/>
      <c r="J191" s="88"/>
      <c r="K191" s="88"/>
      <c r="L191" s="88"/>
      <c r="M191" s="123"/>
      <c r="N191" s="88"/>
    </row>
    <row r="192" spans="1:14" ht="150" customHeight="1" x14ac:dyDescent="0.25">
      <c r="A192" s="49"/>
      <c r="B192" s="47"/>
      <c r="C192" s="49"/>
      <c r="D192" s="47"/>
      <c r="E192" s="62"/>
      <c r="F192" s="49"/>
      <c r="G192" s="49"/>
      <c r="H192" s="50"/>
      <c r="I192" s="120"/>
      <c r="J192" s="88"/>
      <c r="K192" s="88"/>
      <c r="L192" s="88"/>
      <c r="M192" s="123"/>
      <c r="N192" s="88"/>
    </row>
    <row r="193" spans="1:14" ht="150" customHeight="1" x14ac:dyDescent="0.25">
      <c r="A193" s="49"/>
      <c r="B193" s="47"/>
      <c r="C193" s="49"/>
      <c r="D193" s="47"/>
      <c r="E193" s="62"/>
      <c r="F193" s="49"/>
      <c r="G193" s="49"/>
      <c r="H193" s="50"/>
      <c r="I193" s="120"/>
      <c r="J193" s="88"/>
      <c r="K193" s="88"/>
      <c r="L193" s="88"/>
      <c r="M193" s="123"/>
      <c r="N193" s="88"/>
    </row>
    <row r="194" spans="1:14" ht="150" customHeight="1" x14ac:dyDescent="0.25">
      <c r="A194" s="49"/>
      <c r="B194" s="47"/>
      <c r="C194" s="49"/>
      <c r="D194" s="47"/>
      <c r="E194" s="62"/>
      <c r="F194" s="49"/>
      <c r="G194" s="49"/>
      <c r="H194" s="50"/>
      <c r="I194" s="120"/>
      <c r="J194" s="88"/>
      <c r="K194" s="88"/>
      <c r="L194" s="88"/>
      <c r="M194" s="123"/>
      <c r="N194" s="88"/>
    </row>
    <row r="195" spans="1:14" ht="150" customHeight="1" x14ac:dyDescent="0.25">
      <c r="A195" s="49"/>
      <c r="B195" s="47"/>
      <c r="C195" s="49"/>
      <c r="D195" s="47"/>
      <c r="E195" s="62"/>
      <c r="F195" s="49"/>
      <c r="G195" s="49"/>
      <c r="H195" s="50"/>
      <c r="I195" s="120"/>
      <c r="J195" s="88"/>
      <c r="K195" s="88"/>
      <c r="L195" s="88"/>
      <c r="M195" s="123"/>
      <c r="N195" s="88"/>
    </row>
    <row r="196" spans="1:14" ht="150" customHeight="1" x14ac:dyDescent="0.25">
      <c r="A196" s="49"/>
      <c r="B196" s="47"/>
      <c r="C196" s="49"/>
      <c r="D196" s="47"/>
      <c r="E196" s="62"/>
      <c r="F196" s="49"/>
      <c r="G196" s="49"/>
      <c r="H196" s="50"/>
      <c r="I196" s="120"/>
      <c r="J196" s="88"/>
      <c r="K196" s="88"/>
      <c r="L196" s="88"/>
      <c r="M196" s="123"/>
      <c r="N196" s="88"/>
    </row>
    <row r="197" spans="1:14" ht="150" customHeight="1" x14ac:dyDescent="0.25">
      <c r="A197" s="49"/>
      <c r="B197" s="47"/>
      <c r="C197" s="49"/>
      <c r="D197" s="47"/>
      <c r="E197" s="62"/>
      <c r="F197" s="49"/>
      <c r="G197" s="49"/>
      <c r="H197" s="50"/>
      <c r="I197" s="120"/>
      <c r="J197" s="88"/>
      <c r="K197" s="88"/>
      <c r="L197" s="88"/>
      <c r="M197" s="123"/>
      <c r="N197" s="88"/>
    </row>
    <row r="198" spans="1:14" ht="150" customHeight="1" x14ac:dyDescent="0.25">
      <c r="A198" s="49"/>
      <c r="B198" s="47"/>
      <c r="C198" s="49"/>
      <c r="D198" s="47"/>
      <c r="E198" s="62"/>
      <c r="F198" s="49"/>
      <c r="G198" s="49"/>
      <c r="H198" s="50"/>
      <c r="I198" s="120"/>
      <c r="J198" s="88"/>
      <c r="K198" s="88"/>
      <c r="L198" s="88"/>
      <c r="M198" s="123"/>
      <c r="N198" s="88"/>
    </row>
    <row r="199" spans="1:14" ht="150" customHeight="1" x14ac:dyDescent="0.25">
      <c r="A199" s="49"/>
      <c r="B199" s="47"/>
      <c r="C199" s="49"/>
      <c r="D199" s="47"/>
      <c r="E199" s="62"/>
      <c r="F199" s="49"/>
      <c r="G199" s="49"/>
      <c r="H199" s="50"/>
      <c r="I199" s="120"/>
      <c r="J199" s="88"/>
      <c r="K199" s="88"/>
      <c r="L199" s="88"/>
      <c r="M199" s="123"/>
      <c r="N199" s="88"/>
    </row>
    <row r="200" spans="1:14" ht="150" customHeight="1" x14ac:dyDescent="0.25">
      <c r="A200" s="49"/>
      <c r="B200" s="47"/>
      <c r="C200" s="49"/>
      <c r="D200" s="47"/>
      <c r="E200" s="62"/>
      <c r="F200" s="49"/>
      <c r="G200" s="49"/>
      <c r="H200" s="50"/>
      <c r="I200" s="120"/>
      <c r="J200" s="88"/>
      <c r="K200" s="88"/>
      <c r="L200" s="88"/>
      <c r="M200" s="123"/>
      <c r="N200" s="88"/>
    </row>
  </sheetData>
  <mergeCells count="41">
    <mergeCell ref="J11:N11"/>
    <mergeCell ref="A1:L1"/>
    <mergeCell ref="M1:N1"/>
    <mergeCell ref="A2:N2"/>
    <mergeCell ref="J3:N3"/>
    <mergeCell ref="J4:N4"/>
    <mergeCell ref="J5:N5"/>
    <mergeCell ref="J6:N6"/>
    <mergeCell ref="J7:N7"/>
    <mergeCell ref="J8:N8"/>
    <mergeCell ref="J9:N9"/>
    <mergeCell ref="J10:N10"/>
    <mergeCell ref="J23:N23"/>
    <mergeCell ref="J12:N12"/>
    <mergeCell ref="J13:N13"/>
    <mergeCell ref="J14:N14"/>
    <mergeCell ref="J15:N15"/>
    <mergeCell ref="J16:N16"/>
    <mergeCell ref="J17:N17"/>
    <mergeCell ref="J18:N18"/>
    <mergeCell ref="J19:N19"/>
    <mergeCell ref="J20:N20"/>
    <mergeCell ref="J21:N21"/>
    <mergeCell ref="J22:N22"/>
    <mergeCell ref="J35:N35"/>
    <mergeCell ref="J24:N24"/>
    <mergeCell ref="J25:N25"/>
    <mergeCell ref="J26:N26"/>
    <mergeCell ref="J27:N27"/>
    <mergeCell ref="J28:N28"/>
    <mergeCell ref="J29:N29"/>
    <mergeCell ref="J30:N30"/>
    <mergeCell ref="J31:N31"/>
    <mergeCell ref="J32:N32"/>
    <mergeCell ref="J33:N33"/>
    <mergeCell ref="J34:N34"/>
    <mergeCell ref="J36:N36"/>
    <mergeCell ref="J37:N37"/>
    <mergeCell ref="J38:N38"/>
    <mergeCell ref="J39:N39"/>
    <mergeCell ref="J40:N40"/>
  </mergeCells>
  <pageMargins left="0.7" right="0.7" top="0.75" bottom="0.75" header="0.3" footer="0.3"/>
  <pageSetup paperSize="3" scale="52" fitToHeight="0" orientation="landscape" r:id="rId1"/>
  <headerFooter>
    <oddFooter>&amp;R&amp;A
&amp;F&amp;C&amp;"Calibri"&amp;11 Sheet &amp;P of &amp;N_x000D_&amp;1#&amp;"Calibri"&amp;10 Schlumberger-Private</oddFooter>
  </headerFooter>
  <webPublishItems count="120">
    <webPublishItem id="27072" divId="EMR_to_SQL (Rev_1)_27072" sourceType="range" sourceRef="A1:N3" destinationFile="C:\Users\96015\Desktop\EMR_Report.html"/>
    <webPublishItem id="27083" divId="EMR_to_SQL (Rev_1)_27083" sourceType="range" sourceRef="A1:N3" destinationFile="C:\Users\96015\Desktop\EMR_Report.html"/>
    <webPublishItem id="13191" divId="EMR_to_SQL (Rev_1)_13191" sourceType="range" sourceRef="A1:N3" destinationFile="C:\Users\96015\Desktop\EMR_Report.html"/>
    <webPublishItem id="13220" divId="EMR_to_SQL (Rev_1)_13220" sourceType="range" sourceRef="A1:N3" destinationFile="C:\Users\96015\Desktop\EMR_Report.html"/>
    <webPublishItem id="19209" divId="EMR_to_SQL (Rev_1)_19209" sourceType="range" sourceRef="A1:N3" destinationFile="C:\Users\96015\Desktop\EMR_Report.html"/>
    <webPublishItem id="19224" divId="EMR_to_SQL (Rev_1)_19224" sourceType="range" sourceRef="A1:N3" destinationFile="C:\Users\96015\Desktop\EMR_Report.html"/>
    <webPublishItem id="10794" divId="EMR_to_SQL (release_07022018)_10794" sourceType="range" sourceRef="A1:N3" destinationFile="C:\Users\Public\Documents\EMR_Report.html"/>
    <webPublishItem id="10810" divId="EMR_to_SQL (release_07022018)_10810" sourceType="range" sourceRef="A1:N3" destinationFile="C:\Users\Public\Documents\EMR_Report.html"/>
    <webPublishItem id="17495" divId="EMR_to_SQL (release_07022018)_17495" sourceType="range" sourceRef="A1:N3" destinationFile="C:\Users\Public\Documents\EMR_Report.html"/>
    <webPublishItem id="18896" divId="EMR_to_SQL (release_07022018)_18896" sourceType="range" sourceRef="A1:N3" destinationFile="C:\Users\Public\Documents\EMR_Report.html"/>
    <webPublishItem id="19264" divId="EMR_to_SQL (release_07022018)_19264" sourceType="range" sourceRef="A1:N3" destinationFile="C:\Users\Public\Documents\EMR_Report.html"/>
    <webPublishItem id="31688" divId="EMR_to_SQL (release_07022018)_31688" sourceType="range" sourceRef="A1:N3" destinationFile="C:\Users\Public\Documents\EMR_Report.html"/>
    <webPublishItem id="980" divId="EMR_DB v1.0_980" sourceType="range" sourceRef="A1:N3" destinationFile="C:\Users\Public\Documents\EMR_Report.html"/>
    <webPublishItem id="4661" divId="EMR_to_SQL (Rev_1)_4661" sourceType="range" sourceRef="A1:N4" destinationFile="C:\Users\96015\Desktop\EMR_Report.html" autoRepublish="1"/>
    <webPublishItem id="1685" divId="EMR_to_SQL (Rev_1)_1685" sourceType="range" sourceRef="A1:N4" destinationFile="C:\Users\96015\Desktop\EMR_Report.html"/>
    <webPublishItem id="13348" divId="EMR_to_SQL (Rev_1)_13348" sourceType="range" sourceRef="A1:N4" destinationFile="C:\Users\96015\Desktop\EMR_Report.html"/>
    <webPublishItem id="19349" divId="EMR_to_SQL (Rev_1)_19349" sourceType="range" sourceRef="A1:N4" destinationFile="C:\Users\96015\Desktop\EMR_Report.html"/>
    <webPublishItem id="32203" divId="EMR_to_SQL (release_07022018)_32203" sourceType="range" sourceRef="A1:N4" destinationFile="C:\Users\Public\Documents\EMR_Report.html"/>
    <webPublishItem id="4616" divId="EMR_to_SQL (release_07022018)_4616" sourceType="range" sourceRef="A1:N4" destinationFile="C:\Users\Public\Documents\EMR_Report.html"/>
    <webPublishItem id="10862" divId="EMR_to_SQL (release_07022018)_10862" sourceType="range" sourceRef="A1:N4" destinationFile="C:\Users\Public\Documents\EMR_Report.html"/>
    <webPublishItem id="18443" divId="EMR_to_SQL (release_07022018)_18443" sourceType="range" sourceRef="A1:N4" destinationFile="C:\Users\Public\Documents\EMR_Report.html"/>
    <webPublishItem id="24494" divId="EMR_to_SQL (release_07022018)_24494" sourceType="range" sourceRef="A1:N4" destinationFile="C:\Users\Public\Documents\EMR_Report.html"/>
    <webPublishItem id="25476" divId="EMR_to_SQL (release_07022018)_25476" sourceType="range" sourceRef="A1:N4" destinationFile="C:\Users\Public\Documents\EMR_Report.html"/>
    <webPublishItem id="12924" divId="HCTC_EMR_DB_(07032018)_12924" sourceType="range" sourceRef="A1:N4" destinationFile="C:\Users\Public\Documents\EMR_Report.html"/>
    <webPublishItem id="25281" divId="HCTC_EMR_DB_(07032018)_25281" sourceType="range" sourceRef="A1:N4" destinationFile="C:\Users\Public\Documents\EMR_Report.html"/>
    <webPublishItem id="8510" divId="HCTC_EMR_DB_(07092018)_8510" sourceType="range" sourceRef="A1:N4" destinationFile="C:\Users\Public\Documents\EMR_Report.html"/>
    <webPublishItem id="15327" divId="HCTC_EMR_DB_(07112018)_15327" sourceType="range" sourceRef="A1:N4" destinationFile="C:\Users\Public\Documents\EMR_Report.html"/>
    <webPublishItem id="11447" divId="HCTC_EMR_DB_(07112018)_11447" sourceType="range" sourceRef="A1:N4" destinationFile="C:\Users\Public\Documents\EMR_Report.html"/>
    <webPublishItem id="26895" divId="HCTC_EMR_DB_(07112018)_26895" sourceType="range" sourceRef="A1:N4" destinationFile="C:\Users\Public\Documents\EMR_Report.html"/>
    <webPublishItem id="15062" divId="HCTC_EMR_DB_(07112018)_15062" sourceType="range" sourceRef="A1:N4" destinationFile="C:\Users\Public\Documents\EMR_Report.html"/>
    <webPublishItem id="15817" divId="EMR_DB_15817" sourceType="range" sourceRef="A1:N4" destinationFile="C:\Users\Public\Documents\EMR_Report.html"/>
    <webPublishItem id="10335" divId="EMR_DB v1.1_10335" sourceType="range" sourceRef="A1:N4" destinationFile="C:\Users\Public\Documents\EMR_Report.html"/>
    <webPublishItem id="27200" divId="EMR_to_SQL (Rev_1)_27200" sourceType="range" sourceRef="A1:N5" destinationFile="C:\Users\96015\Desktop\EMR_Report.html"/>
    <webPublishItem id="21134" divId="EMR_to_SQL (Rev_1)_21134" sourceType="range" sourceRef="A1:N5" destinationFile="C:\Users\96015\Desktop\EMR_Report.html"/>
    <webPublishItem id="16794" divId="EMR_to_SQL (Rev_1)_16794" sourceType="range" sourceRef="A1:N5" destinationFile="C:\Users\96015\Desktop\EMR_Report.html"/>
    <webPublishItem id="3747" divId="EMR_to_SQL (release_07022018)_3747" sourceType="range" sourceRef="A1:N5" destinationFile="C:\Users\Public\Documents\EMR_Report.html"/>
    <webPublishItem id="10514" divId="EMR_to_SQL (release_07022018)_10514" sourceType="range" sourceRef="A1:N5" destinationFile="C:\Users\Public\Documents\EMR_Report.html"/>
    <webPublishItem id="10510" divId="HCTC_EMR_DB_(07032018)_10510" sourceType="range" sourceRef="A1:N5" destinationFile="C:\Users\Public\Documents\EMR_Report.html"/>
    <webPublishItem id="16402" divId="HCTC_EMR_DB_(07032018)_16402" sourceType="range" sourceRef="A1:N5" destinationFile="C:\Users\Public\Documents\EMR_Report.html"/>
    <webPublishItem id="19206" divId="HCTC_EMR_DB_(07032018)_19206" sourceType="range" sourceRef="A1:N5" destinationFile="C:\Users\Public\Documents\EMR_Report.html"/>
    <webPublishItem id="11736" divId="HCTC_EMR_DB_(07032018)_11736" sourceType="range" sourceRef="A1:N5" destinationFile="C:\Users\Public\Documents\EMR_Report.html"/>
    <webPublishItem id="21342" divId="HCTC_EMR_DB_(07032018)_21342" sourceType="range" sourceRef="A1:N5" destinationFile="C:\Users\Public\Documents\EMR_Report.html"/>
    <webPublishItem id="10049" divId="HCTC_EMR_DB_(07032018)_10049" sourceType="range" sourceRef="A1:N5" destinationFile="C:\Users\Public\Documents\EMR_Report.html"/>
    <webPublishItem id="24467" divId="HCTC_EMR_DB_(07092018)_24467" sourceType="range" sourceRef="A1:N5" destinationFile="C:\Users\Public\Documents\EMR_Report.html"/>
    <webPublishItem id="29634" divId="HCTC_EMR_DB_(07112018)_29634" sourceType="range" sourceRef="A1:N5" destinationFile="C:\Users\Public\Documents\EMR_Report.html"/>
    <webPublishItem id="32214" divId="HCTC_EMR_DB_(07112018)_32214" sourceType="range" sourceRef="A1:N5" destinationFile="C:\Users\Public\Documents\EMR_Report.html"/>
    <webPublishItem id="7096" divId="HCTC_EMR_DB_(07112018)_7096" sourceType="range" sourceRef="A1:N5" destinationFile="C:\Users\Public\Documents\EMR_Report.html"/>
    <webPublishItem id="12115" divId="HCTC_EMR_DB_(07112018)_12115" sourceType="range" sourceRef="A1:N5" destinationFile="C:\Users\Public\Documents\EMR_Report.html"/>
    <webPublishItem id="21050" divId="HCTC_EMR_DB_(07112018)_21050" sourceType="range" sourceRef="A1:N5" destinationFile="C:\Users\Public\Documents\EMR_Report.html"/>
    <webPublishItem id="3189" divId="HCTC_EMR_DB_(07112018)_3189" sourceType="range" sourceRef="A1:N5" destinationFile="C:\Users\Public\Documents\EMR_Report.html"/>
    <webPublishItem id="9529" divId="HCTC_EMR_DB_(07112018)_9529" sourceType="range" sourceRef="A1:N5" destinationFile="C:\Users\Public\Documents\EMR_Report.html"/>
    <webPublishItem id="16557" divId="HCTC_EMR_DB_(07112018)_16557" sourceType="range" sourceRef="A1:N5" destinationFile="C:\Users\Public\Documents\EMR_Report.html"/>
    <webPublishItem id="30999" divId="HCTC_EMR_DB_(07112018)_30999" sourceType="range" sourceRef="A1:N5" destinationFile="C:\Users\Public\Documents\EMR_Report.html"/>
    <webPublishItem id="16032" divId="HCTC_EMR_DB_(07112018)_16032" sourceType="range" sourceRef="A1:N5" destinationFile="C:\Users\Public\Documents\EMR_Report.html"/>
    <webPublishItem id="26573" divId="HCTC_EMR_DB_(07112018)_26573" sourceType="range" sourceRef="A1:N5" destinationFile="C:\Users\Public\Documents\EMR_Report.html"/>
    <webPublishItem id="8648" divId="HCTC_EMR_DB_(07112018)_8648" sourceType="range" sourceRef="A1:N5" destinationFile="C:\Users\Public\Documents\EMR_Report.html"/>
    <webPublishItem id="193" divId="HCTC_EMR_DB_(07112018)_193" sourceType="range" sourceRef="A1:N5" destinationFile="C:\Users\Public\Documents\EMR_Report.html"/>
    <webPublishItem id="16128" divId="HCTC_EMR_DB_(07112018)_16128" sourceType="range" sourceRef="A1:N5" destinationFile="C:\Users\Public\Documents\EMR_Report.html"/>
    <webPublishItem id="2843" divId="HCTC_EMR_DB_(07112018)_2843" sourceType="range" sourceRef="A1:N5" destinationFile="C:\Users\Public\Documents\EMR_Report.html"/>
    <webPublishItem id="4428" divId="HCTC_EMR_DB_(07112018)_4428" sourceType="range" sourceRef="A1:N5" destinationFile="C:\Users\Public\Documents\EMR_Report.html"/>
    <webPublishItem id="21741" divId="EMR_DB_21741" sourceType="range" sourceRef="A1:N5" destinationFile="C:\Users\Public\Documents\EMR_Report.html"/>
    <webPublishItem id="25589" divId="EMR_DB_25589" sourceType="range" sourceRef="A1:N5" destinationFile="C:\Users\Public\Documents\EMR_Report.html"/>
    <webPublishItem id="30005" divId="EMR_DB_30005" sourceType="range" sourceRef="A1:N5" destinationFile="C:\Users\Public\Documents\EMR_Report.html"/>
    <webPublishItem id="22532" divId="EMR_DB v1.0_22532" sourceType="range" sourceRef="A1:N5" destinationFile="C:\Users\Public\Documents\EMR_Report.html"/>
    <webPublishItem id="11356" divId="EMR_DB v1.1_11356" sourceType="range" sourceRef="A1:N5" destinationFile="C:\Users\Public\Documents\EMR_Report.html"/>
    <webPublishItem id="24412" divId="EMR_to_SQL (Rev_1)_24412" sourceType="range" sourceRef="A1:N6" destinationFile="C:\Users\96015\Desktop\EMR_Report.html"/>
    <webPublishItem id="12471" divId="EMR_to_SQL (Rev_1)_12471" sourceType="range" sourceRef="A1:N6" destinationFile="C:\Users\96015\Desktop\EMR_Report.html"/>
    <webPublishItem id="21197" divId="HCTC_EMR_DB_(07092018)_21197" sourceType="range" sourceRef="A1:N6" destinationFile="C:\Users\Public\Documents\EMR_Report.html"/>
    <webPublishItem id="199" divId="HCTC_EMR_DB_(07092018)_199" sourceType="range" sourceRef="A1:N6" destinationFile="C:\Users\Public\Documents\EMR_Report.html"/>
    <webPublishItem id="20171" divId="HCTC_EMR_DB_(07112018)_20171" sourceType="range" sourceRef="A1:N6" destinationFile="C:\Users\Public\Documents\EMR_Report.html"/>
    <webPublishItem id="13821" divId="HCTC_EMR_DB_(07112018)_13821" sourceType="range" sourceRef="A1:N6" destinationFile="C:\Users\Public\Documents\EMR_Report.html"/>
    <webPublishItem id="12136" divId="HCTC_EMR_DB_(07112018)_12136" sourceType="range" sourceRef="A1:N6" destinationFile="C:\Users\Public\Documents\EMR_Report.html"/>
    <webPublishItem id="6229" divId="HCTC_EMR_DB_(07112018)_6229" sourceType="range" sourceRef="A1:N6" destinationFile="C:\Users\Public\Documents\EMR_Report.html"/>
    <webPublishItem id="26903" divId="HCTC_EMR_DB_(07112018)_26903" sourceType="range" sourceRef="A1:N6" destinationFile="C:\Users\Public\Documents\EMR_Report.html"/>
    <webPublishItem id="18500" divId="HCTC_EMR_DB_(07112018)_18500" sourceType="range" sourceRef="A1:N6" destinationFile="C:\Users\Public\Documents\EMR_Report.html"/>
    <webPublishItem id="13340" divId="HCTC_EMR_DB_(07112018)_13340" sourceType="range" sourceRef="A1:N6" destinationFile="C:\Users\Public\Documents\EMR_Report.html"/>
    <webPublishItem id="713" divId="HCTC_EMR_DB_(07112018)_713" sourceType="range" sourceRef="A1:N6" destinationFile="C:\Users\Public\Documents\EMR_Report.html"/>
    <webPublishItem id="27566" divId="HCTC_EMR_DB_(07112018)_27566" sourceType="range" sourceRef="A1:N6" destinationFile="C:\Users\Public\Documents\EMR_Report.html"/>
    <webPublishItem id="5863" divId="HCTC_EMR_DB_(07112018)_5863" sourceType="range" sourceRef="A1:N6" destinationFile="C:\Users\Public\Documents\EMR_Report.html"/>
    <webPublishItem id="27007" divId="HCTC_EMR_DB_(07112018)_27007" sourceType="range" sourceRef="A1:N6" destinationFile="C:\Users\Public\Documents\EMR_Report.html"/>
    <webPublishItem id="10284" divId="HCTC_EMR_DB_(07112018)_10284" sourceType="range" sourceRef="A1:N6" destinationFile="C:\Users\Public\Documents\EMR_Report.html"/>
    <webPublishItem id="1746" divId="HCTC_EMR_DB_(07112018)_1746" sourceType="range" sourceRef="A1:N6" destinationFile="C:\Users\Public\Documents\EMR_Report.html"/>
    <webPublishItem id="17212" divId="HCTC_EMR_DB_(07112018)_17212" sourceType="range" sourceRef="A1:N6" destinationFile="C:\Users\Public\Documents\EMR_Report.html"/>
    <webPublishItem id="18355" divId="HCTC_EMR_DB_(07112018)_18355" sourceType="range" sourceRef="A1:N6" destinationFile="C:\Users\Public\Documents\EMR_Report.html"/>
    <webPublishItem id="24761" divId="HCTC_EMR_DB_(07112018)_24761" sourceType="range" sourceRef="A1:N6" destinationFile="C:\Users\Public\Documents\EMR_Report.html"/>
    <webPublishItem id="18845" divId="EMR_DB_18845" sourceType="range" sourceRef="A1:N6" destinationFile="C:\Users\Public\Documents\EMR_Report.html"/>
    <webPublishItem id="1789" divId="EMR_DB v1.0_1789" sourceType="range" sourceRef="A1:N6" destinationFile="C:\Users\Public\Documents\EMR_Report.html"/>
    <webPublishItem id="335" divId="EMR_DB v1.1_335" sourceType="range" sourceRef="A1:N6" destinationFile="C:\Users\Public\Documents\EMR_Report.html"/>
    <webPublishItem id="9998" divId="EMR_to_SQL (Rev_1)_9998" sourceType="range" sourceRef="A1:N7" destinationFile="C:\Users\96015\Desktop\EMR_Report.html"/>
    <webPublishItem id="135" divId="EMR_to_SQL (Developer)_135" sourceType="range" sourceRef="A1:N7" destinationFile="C:\Users\96015\Desktop\EMR_Report.html"/>
    <webPublishItem id="28361" divId="EMR_to_SQL (release_07022018)_28361" sourceType="range" sourceRef="A1:N7" destinationFile="C:\Users\Public\Documents\EMR_Report.html"/>
    <webPublishItem id="13811" divId="HCTC_EMR_DB_(07092018)_13811" sourceType="range" sourceRef="A1:N7" destinationFile="C:\Users\Public\Documents\EMR_Report.html"/>
    <webPublishItem id="11593" divId="HCTC_EMR_DB_(07112018)_11593" sourceType="range" sourceRef="A1:N7" destinationFile="C:\Users\Public\Documents\EMR_Report.html"/>
    <webPublishItem id="20091" divId="HCTC_EMR_DB_(07112018)_20091" sourceType="range" sourceRef="A1:N7" destinationFile="C:\Users\Public\Documents\EMR_Report.html"/>
    <webPublishItem id="32024" divId="HCTC_EMR_DB_(07112018)_32024" sourceType="range" sourceRef="A1:N7" destinationFile="C:\Users\Public\Documents\EMR_Report.html"/>
    <webPublishItem id="20201" divId="HCTC_EMR_DB_(07112018)_20201" sourceType="range" sourceRef="A1:N7" destinationFile="C:\Users\Public\Documents\EMR_Report.html"/>
    <webPublishItem id="16465" divId="HCTC_EMR_DB_(07112018)_16465" sourceType="range" sourceRef="A1:N7" destinationFile="C:\Users\Public\Documents\EMR_Report.html"/>
    <webPublishItem id="25720" divId="HCTC_EMR_DB_(07112018)_25720" sourceType="range" sourceRef="A1:N7" destinationFile="C:\Users\Public\Documents\EMR_Report.html"/>
    <webPublishItem id="23560" divId="EMR_DB_23560" sourceType="range" sourceRef="A1:N7" destinationFile="C:\Users\Public\Documents\EMR_Report.html"/>
    <webPublishItem id="24485" divId="HCTC_EMR_DB_(07112018)_24485" sourceType="range" sourceRef="A1:N8" destinationFile="C:\Users\Public\Documents\EMR_Report.html"/>
    <webPublishItem id="13160" divId="HCTC_EMR_DB_(07112018)_13160" sourceType="range" sourceRef="A1:N8" destinationFile="C:\Users\Public\Documents\EMR_Report.html"/>
    <webPublishItem id="2243" divId="EMR_to_SQL (release_07022018)_2243" sourceType="range" sourceRef="A1:N9" destinationFile="C:\Users\Public\Documents\EMR_Report.html"/>
    <webPublishItem id="21686" divId="HCTC_EMR_DB_(07032018)_21686" sourceType="range" sourceRef="A1:N9" destinationFile="C:\Users\Public\Documents\EMR_Report.html"/>
    <webPublishItem id="12239" divId="EMR_DB_12239" sourceType="range" sourceRef="A1:N9" destinationFile="C:\Users\Public\Documents\EMR_Report.html"/>
    <webPublishItem id="2896" divId="HCTC_EMR_DB_(07112018)_2896" sourceType="range" sourceRef="A1:N10" destinationFile="C:\Users\Public\Documents\EMR_Report.html"/>
    <webPublishItem id="19352" divId="HCTC_EMR_DB_(07112018)_19352" sourceType="range" sourceRef="A1:N11" destinationFile="C:\Users\Public\Documents\EMR_Report.html"/>
    <webPublishItem id="7176" divId="HCTC_EMR_DB_(07112018)_7176" sourceType="range" sourceRef="A1:N11" destinationFile="C:\Users\Public\Documents\EMR_Report.html"/>
    <webPublishItem id="32087" divId="EMR_to_SQL (Rev_1)_32087" sourceType="range" sourceRef="A1:N12" destinationFile="C:\Users\96015\Desktop\EMR_Report.html"/>
    <webPublishItem id="16605" divId="EMR_to_SQL (Rev_1)_16605" sourceType="range" sourceRef="A1:N12" destinationFile="C:\Users\96015\Desktop\EMR_Report.html"/>
    <webPublishItem id="9958" divId="EMR_to_SQL (Rev_1)_9958" sourceType="range" sourceRef="A1:N16" destinationFile="C:\Users\96015\Desktop\EMR_Report.html"/>
    <webPublishItem id="4814" divId="EMR_to_SQL (Developer)_4814" sourceType="range" sourceRef="A1:N16" destinationFile="C:\Users\96015\Desktop\EMR_Report.html"/>
    <webPublishItem id="7795" divId="HCTC_EMR_DB_(07032018)_7795" sourceType="range" sourceRef="A1:N17" destinationFile="C:\Users\Public\Documents\EMR_Report.html"/>
    <webPublishItem id="11767" divId="HCTC_EMR_DB_(07032018)_11767" sourceType="range" sourceRef="A1:N18" destinationFile="C:\Users\Public\Documents\EMR_Report.html"/>
    <webPublishItem id="21294" divId="HCTC_EMR_DB_(07032018)_21294" sourceType="range" sourceRef="A1:N20" destinationFile="C:\Users\Public\Documents\EMR_Report.html"/>
    <webPublishItem id="4547" divId="HCTC_EMR_DB_(07092018)_4547" sourceType="range" sourceRef="A1:N21" destinationFile="C:\Users\Public\Documents\EMR_Report.html"/>
    <webPublishItem id="10944" divId="HCTC_EMR_DB_(07092018)_10944" sourceType="range" sourceRef="A1:N22" destinationFile="C:\Users\Public\Documents\EMR_Report.html"/>
    <webPublishItem id="14274" divId="HCTC_EMR_DB_(07092018)_14274" sourceType="range" sourceRef="A1:N24" destinationFile="C:\Users\Public\Documents\EMR_Report.html"/>
    <webPublishItem id="19287" divId="HCTC_EMR_DB_(07112018)_19287" sourceType="range" sourceRef="A1:N25" destinationFile="C:\Users\Public\Documents\EMR_Report.html"/>
    <webPublishItem id="20502" divId="EMR_DB v1.1_20502" sourceType="range" sourceRef="A1:N26" destinationFile="C:\Users\Public\Documents\EMR_Report.html"/>
    <webPublishItem id="15863" divId="EMR_DB v1.1_15863" sourceType="range" sourceRef="A1:N53" destinationFile="C:\Users\Public\Documents\EMR_Report.html"/>
  </webPublishItem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7"/>
  <dimension ref="A1:E30"/>
  <sheetViews>
    <sheetView workbookViewId="0">
      <selection activeCell="D9" sqref="D9"/>
    </sheetView>
  </sheetViews>
  <sheetFormatPr defaultRowHeight="15" x14ac:dyDescent="0.25"/>
  <cols>
    <col min="1" max="1" width="28" customWidth="1"/>
    <col min="2" max="2" width="36.42578125" customWidth="1"/>
    <col min="3" max="3" width="33.28515625" customWidth="1"/>
    <col min="4" max="4" width="25.28515625" customWidth="1"/>
    <col min="5" max="5" width="37.85546875" customWidth="1"/>
  </cols>
  <sheetData>
    <row r="1" spans="1:5" ht="18.75" x14ac:dyDescent="0.25">
      <c r="A1" s="56" t="s">
        <v>1033</v>
      </c>
      <c r="B1" s="56" t="s">
        <v>1034</v>
      </c>
      <c r="C1" s="56" t="s">
        <v>1035</v>
      </c>
      <c r="D1" s="56" t="s">
        <v>1036</v>
      </c>
      <c r="E1" s="56" t="s">
        <v>8</v>
      </c>
    </row>
    <row r="2" spans="1:5" ht="30" x14ac:dyDescent="0.25">
      <c r="A2" s="133">
        <v>43476</v>
      </c>
      <c r="B2" s="134">
        <v>0.49782407407407409</v>
      </c>
      <c r="C2" s="6" t="s">
        <v>774</v>
      </c>
      <c r="D2" s="10" t="s">
        <v>903</v>
      </c>
      <c r="E2" s="20" t="s">
        <v>906</v>
      </c>
    </row>
    <row r="3" spans="1:5" x14ac:dyDescent="0.25">
      <c r="A3" s="6"/>
      <c r="B3" s="6"/>
      <c r="C3" s="6"/>
      <c r="D3" s="10"/>
      <c r="E3" s="20"/>
    </row>
    <row r="4" spans="1:5" x14ac:dyDescent="0.25">
      <c r="A4" s="6"/>
      <c r="B4" s="6"/>
      <c r="D4" s="10"/>
      <c r="E4" s="20"/>
    </row>
    <row r="5" spans="1:5" x14ac:dyDescent="0.25">
      <c r="A5" s="6"/>
      <c r="B5" s="6"/>
      <c r="D5" s="10"/>
      <c r="E5" s="20"/>
    </row>
    <row r="6" spans="1:5" x14ac:dyDescent="0.25">
      <c r="A6" s="6"/>
      <c r="B6" s="6"/>
      <c r="D6" s="10"/>
      <c r="E6" s="20"/>
    </row>
    <row r="7" spans="1:5" x14ac:dyDescent="0.25">
      <c r="A7" s="6"/>
      <c r="B7" s="6"/>
      <c r="D7" s="10"/>
      <c r="E7" s="20"/>
    </row>
    <row r="8" spans="1:5" x14ac:dyDescent="0.25">
      <c r="A8" s="6"/>
      <c r="B8" s="6"/>
      <c r="E8" s="20"/>
    </row>
    <row r="9" spans="1:5" x14ac:dyDescent="0.25">
      <c r="A9" s="6"/>
      <c r="B9" s="6"/>
      <c r="E9" s="20"/>
    </row>
    <row r="10" spans="1:5" x14ac:dyDescent="0.25">
      <c r="B10" s="6"/>
      <c r="E10" s="20"/>
    </row>
    <row r="11" spans="1:5" x14ac:dyDescent="0.25">
      <c r="E11" s="20"/>
    </row>
    <row r="12" spans="1:5" x14ac:dyDescent="0.25">
      <c r="E12" s="20"/>
    </row>
    <row r="13" spans="1:5" x14ac:dyDescent="0.25">
      <c r="E13" s="20"/>
    </row>
    <row r="14" spans="1:5" x14ac:dyDescent="0.25">
      <c r="E14" s="20"/>
    </row>
    <row r="15" spans="1:5" x14ac:dyDescent="0.25">
      <c r="E15" s="20"/>
    </row>
    <row r="16" spans="1:5" x14ac:dyDescent="0.25">
      <c r="E16" s="20"/>
    </row>
    <row r="17" spans="5:5" x14ac:dyDescent="0.25">
      <c r="E17" s="20"/>
    </row>
    <row r="18" spans="5:5" x14ac:dyDescent="0.25">
      <c r="E18" s="20"/>
    </row>
    <row r="19" spans="5:5" x14ac:dyDescent="0.25">
      <c r="E19" s="20"/>
    </row>
    <row r="20" spans="5:5" x14ac:dyDescent="0.25">
      <c r="E20" s="20"/>
    </row>
    <row r="21" spans="5:5" x14ac:dyDescent="0.25">
      <c r="E21" s="20"/>
    </row>
    <row r="22" spans="5:5" x14ac:dyDescent="0.25">
      <c r="E22" s="20"/>
    </row>
    <row r="23" spans="5:5" x14ac:dyDescent="0.25">
      <c r="E23" s="20"/>
    </row>
    <row r="24" spans="5:5" x14ac:dyDescent="0.25">
      <c r="E24" s="20"/>
    </row>
    <row r="25" spans="5:5" x14ac:dyDescent="0.25">
      <c r="E25" s="20"/>
    </row>
    <row r="26" spans="5:5" x14ac:dyDescent="0.25">
      <c r="E26" s="20"/>
    </row>
    <row r="27" spans="5:5" x14ac:dyDescent="0.25">
      <c r="E27" s="20"/>
    </row>
    <row r="28" spans="5:5" x14ac:dyDescent="0.25">
      <c r="E28" s="20"/>
    </row>
    <row r="29" spans="5:5" x14ac:dyDescent="0.25">
      <c r="E29" s="20"/>
    </row>
    <row r="30" spans="5:5" x14ac:dyDescent="0.25">
      <c r="E30" s="20"/>
    </row>
  </sheetData>
  <pageMargins left="0.7" right="0.7" top="0.75" bottom="0.75" header="0.3" footer="0.3"/>
  <pageSetup orientation="portrait" r:id="rId1"/>
  <headerFooter>
    <oddFooter>&amp;C&amp;1#&amp;"Calibri"&amp;10 Schlumberger-Private</oddFooter>
  </headerFooter>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4"/>
  <dimension ref="A3:D14"/>
  <sheetViews>
    <sheetView topLeftCell="D1" workbookViewId="0">
      <selection activeCell="A6" sqref="A6"/>
    </sheetView>
  </sheetViews>
  <sheetFormatPr defaultRowHeight="15" x14ac:dyDescent="0.25"/>
  <cols>
    <col min="1" max="1" width="15.85546875" bestFit="1" customWidth="1"/>
    <col min="2" max="2" width="16.28515625" bestFit="1" customWidth="1"/>
    <col min="3" max="3" width="7.140625" bestFit="1" customWidth="1"/>
    <col min="4" max="4" width="11.28515625" bestFit="1" customWidth="1"/>
    <col min="5" max="5" width="4.140625" bestFit="1" customWidth="1"/>
    <col min="6" max="6" width="4.85546875" bestFit="1" customWidth="1"/>
    <col min="7" max="7" width="4" bestFit="1" customWidth="1"/>
    <col min="8" max="8" width="3.42578125" bestFit="1" customWidth="1"/>
    <col min="9" max="9" width="4.42578125" bestFit="1" customWidth="1"/>
    <col min="10" max="10" width="4.28515625" bestFit="1" customWidth="1"/>
    <col min="11" max="11" width="4" bestFit="1" customWidth="1"/>
    <col min="12" max="12" width="4.5703125" bestFit="1" customWidth="1"/>
    <col min="13" max="13" width="4.28515625" bestFit="1" customWidth="1"/>
    <col min="14" max="14" width="11.28515625" bestFit="1" customWidth="1"/>
  </cols>
  <sheetData>
    <row r="3" spans="1:4" x14ac:dyDescent="0.25">
      <c r="A3" s="135" t="s">
        <v>1053</v>
      </c>
      <c r="B3" s="135" t="s">
        <v>1052</v>
      </c>
    </row>
    <row r="4" spans="1:4" x14ac:dyDescent="0.25">
      <c r="A4" s="135" t="s">
        <v>1050</v>
      </c>
      <c r="B4" t="s">
        <v>19</v>
      </c>
      <c r="C4" t="s">
        <v>18</v>
      </c>
      <c r="D4" t="s">
        <v>1051</v>
      </c>
    </row>
    <row r="5" spans="1:4" x14ac:dyDescent="0.25">
      <c r="A5" s="137" t="s">
        <v>1674</v>
      </c>
      <c r="B5" s="136">
        <v>0.9285714285714286</v>
      </c>
      <c r="C5" s="136">
        <v>7.1428571428571425E-2</v>
      </c>
      <c r="D5" s="136">
        <v>1</v>
      </c>
    </row>
    <row r="6" spans="1:4" x14ac:dyDescent="0.25">
      <c r="A6" s="137" t="s">
        <v>1675</v>
      </c>
      <c r="B6" s="136">
        <v>0.96875</v>
      </c>
      <c r="C6" s="136">
        <v>3.125E-2</v>
      </c>
      <c r="D6" s="136">
        <v>1</v>
      </c>
    </row>
    <row r="7" spans="1:4" x14ac:dyDescent="0.25">
      <c r="A7" s="137" t="s">
        <v>1676</v>
      </c>
      <c r="B7" s="136">
        <v>0.95454545454545459</v>
      </c>
      <c r="C7" s="136">
        <v>4.5454545454545456E-2</v>
      </c>
      <c r="D7" s="136">
        <v>1</v>
      </c>
    </row>
    <row r="8" spans="1:4" x14ac:dyDescent="0.25">
      <c r="A8" s="137" t="s">
        <v>1677</v>
      </c>
      <c r="B8" s="136">
        <v>0.9</v>
      </c>
      <c r="C8" s="136">
        <v>0.1</v>
      </c>
      <c r="D8" s="136">
        <v>1</v>
      </c>
    </row>
    <row r="9" spans="1:4" x14ac:dyDescent="0.25">
      <c r="A9" s="137" t="s">
        <v>1678</v>
      </c>
      <c r="B9" s="136">
        <v>0.88235294117647056</v>
      </c>
      <c r="C9" s="136">
        <v>0.11764705882352941</v>
      </c>
      <c r="D9" s="136">
        <v>1</v>
      </c>
    </row>
    <row r="10" spans="1:4" x14ac:dyDescent="0.25">
      <c r="A10" s="137" t="s">
        <v>1679</v>
      </c>
      <c r="B10" s="136">
        <v>0.6</v>
      </c>
      <c r="C10" s="136">
        <v>0.4</v>
      </c>
      <c r="D10" s="136">
        <v>1</v>
      </c>
    </row>
    <row r="11" spans="1:4" x14ac:dyDescent="0.25">
      <c r="A11" s="137" t="s">
        <v>1680</v>
      </c>
      <c r="B11" s="136">
        <v>0.69230769230769229</v>
      </c>
      <c r="C11" s="136">
        <v>0.30769230769230771</v>
      </c>
      <c r="D11" s="136">
        <v>1</v>
      </c>
    </row>
    <row r="12" spans="1:4" x14ac:dyDescent="0.25">
      <c r="A12" s="137" t="s">
        <v>1681</v>
      </c>
      <c r="B12" s="136">
        <v>0.95652173913043481</v>
      </c>
      <c r="C12" s="136">
        <v>4.3478260869565216E-2</v>
      </c>
      <c r="D12" s="136">
        <v>1</v>
      </c>
    </row>
    <row r="13" spans="1:4" x14ac:dyDescent="0.25">
      <c r="A13" s="137" t="s">
        <v>1682</v>
      </c>
      <c r="B13" s="136">
        <v>0.30434782608695654</v>
      </c>
      <c r="C13" s="136">
        <v>0.69565217391304346</v>
      </c>
      <c r="D13" s="136">
        <v>1</v>
      </c>
    </row>
    <row r="14" spans="1:4" x14ac:dyDescent="0.25">
      <c r="A14" s="137" t="s">
        <v>1051</v>
      </c>
      <c r="B14" s="136">
        <v>0.81609195402298851</v>
      </c>
      <c r="C14" s="136">
        <v>0.18390804597701149</v>
      </c>
      <c r="D14" s="136">
        <v>1</v>
      </c>
    </row>
  </sheetData>
  <pageMargins left="0.7" right="0.7" top="0.75" bottom="0.75" header="0.3" footer="0.3"/>
  <pageSetup orientation="portrait" r:id="rId2"/>
  <headerFooter>
    <oddFooter>&amp;C&amp;1#&amp;"Calibri"&amp;10 Schlumberger-Private</oddFooter>
  </headerFooter>
  <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3</vt:i4>
      </vt:variant>
    </vt:vector>
  </HeadingPairs>
  <TitlesOfParts>
    <vt:vector size="13" baseType="lpstr">
      <vt:lpstr>EMR Form</vt:lpstr>
      <vt:lpstr>EMR Data</vt:lpstr>
      <vt:lpstr>dump</vt:lpstr>
      <vt:lpstr>List</vt:lpstr>
      <vt:lpstr>equip_list</vt:lpstr>
      <vt:lpstr>Report_1</vt:lpstr>
      <vt:lpstr>Report_2</vt:lpstr>
      <vt:lpstr>Report_3</vt:lpstr>
      <vt:lpstr>user_log</vt:lpstr>
      <vt:lpstr>Metrics</vt:lpstr>
      <vt:lpstr>Report_1!Print_Area</vt:lpstr>
      <vt:lpstr>Report_1!Print_Titles</vt:lpstr>
      <vt:lpstr>Report_2!Print_Titles</vt:lpstr>
    </vt:vector>
  </TitlesOfParts>
  <Company>Cameron</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HPUser</dc:creator>
  <cp:lastModifiedBy>Dowd, Jimmie</cp:lastModifiedBy>
  <cp:lastPrinted>2019-01-04T14:08:35Z</cp:lastPrinted>
  <dcterms:created xsi:type="dcterms:W3CDTF">2013-01-04T21:27:06Z</dcterms:created>
  <dcterms:modified xsi:type="dcterms:W3CDTF">2019-01-29T17:23:29Z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585f1f62-8d2b-4457-869c-0a13c6549635_Enabled">
    <vt:lpwstr>True</vt:lpwstr>
  </property>
  <property fmtid="{D5CDD505-2E9C-101B-9397-08002B2CF9AE}" pid="3" name="MSIP_Label_585f1f62-8d2b-4457-869c-0a13c6549635_SiteId">
    <vt:lpwstr>41ff26dc-250f-4b13-8981-739be8610c21</vt:lpwstr>
  </property>
  <property fmtid="{D5CDD505-2E9C-101B-9397-08002B2CF9AE}" pid="4" name="MSIP_Label_585f1f62-8d2b-4457-869c-0a13c6549635_Ref">
    <vt:lpwstr>https://api.informationprotection.azure.com/api/41ff26dc-250f-4b13-8981-739be8610c21</vt:lpwstr>
  </property>
  <property fmtid="{D5CDD505-2E9C-101B-9397-08002B2CF9AE}" pid="5" name="MSIP_Label_585f1f62-8d2b-4457-869c-0a13c6549635_Owner">
    <vt:lpwstr>JDowd@slb.com</vt:lpwstr>
  </property>
  <property fmtid="{D5CDD505-2E9C-101B-9397-08002B2CF9AE}" pid="6" name="MSIP_Label_585f1f62-8d2b-4457-869c-0a13c6549635_SetDate">
    <vt:lpwstr>2018-07-26T09:47:26.0025419-05:00</vt:lpwstr>
  </property>
  <property fmtid="{D5CDD505-2E9C-101B-9397-08002B2CF9AE}" pid="7" name="MSIP_Label_585f1f62-8d2b-4457-869c-0a13c6549635_Name">
    <vt:lpwstr>Private</vt:lpwstr>
  </property>
  <property fmtid="{D5CDD505-2E9C-101B-9397-08002B2CF9AE}" pid="8" name="MSIP_Label_585f1f62-8d2b-4457-869c-0a13c6549635_Application">
    <vt:lpwstr>Microsoft Azure Information Protection</vt:lpwstr>
  </property>
  <property fmtid="{D5CDD505-2E9C-101B-9397-08002B2CF9AE}" pid="9" name="MSIP_Label_585f1f62-8d2b-4457-869c-0a13c6549635_Extended_MSFT_Method">
    <vt:lpwstr>Automatic</vt:lpwstr>
  </property>
  <property fmtid="{D5CDD505-2E9C-101B-9397-08002B2CF9AE}" pid="10" name="MSIP_Label_8bb759f6-5337-4dc5-b19b-e74b6da11f8f_Enabled">
    <vt:lpwstr>True</vt:lpwstr>
  </property>
  <property fmtid="{D5CDD505-2E9C-101B-9397-08002B2CF9AE}" pid="11" name="MSIP_Label_8bb759f6-5337-4dc5-b19b-e74b6da11f8f_SiteId">
    <vt:lpwstr>41ff26dc-250f-4b13-8981-739be8610c21</vt:lpwstr>
  </property>
  <property fmtid="{D5CDD505-2E9C-101B-9397-08002B2CF9AE}" pid="12" name="MSIP_Label_8bb759f6-5337-4dc5-b19b-e74b6da11f8f_Ref">
    <vt:lpwstr>https://api.informationprotection.azure.com/api/41ff26dc-250f-4b13-8981-739be8610c21</vt:lpwstr>
  </property>
  <property fmtid="{D5CDD505-2E9C-101B-9397-08002B2CF9AE}" pid="13" name="MSIP_Label_8bb759f6-5337-4dc5-b19b-e74b6da11f8f_Owner">
    <vt:lpwstr>JDowd@slb.com</vt:lpwstr>
  </property>
  <property fmtid="{D5CDD505-2E9C-101B-9397-08002B2CF9AE}" pid="14" name="MSIP_Label_8bb759f6-5337-4dc5-b19b-e74b6da11f8f_SetDate">
    <vt:lpwstr>2018-07-26T09:47:26.0035420-05:00</vt:lpwstr>
  </property>
  <property fmtid="{D5CDD505-2E9C-101B-9397-08002B2CF9AE}" pid="15" name="MSIP_Label_8bb759f6-5337-4dc5-b19b-e74b6da11f8f_Name">
    <vt:lpwstr>Internal</vt:lpwstr>
  </property>
  <property fmtid="{D5CDD505-2E9C-101B-9397-08002B2CF9AE}" pid="16" name="MSIP_Label_8bb759f6-5337-4dc5-b19b-e74b6da11f8f_Application">
    <vt:lpwstr>Microsoft Azure Information Protection</vt:lpwstr>
  </property>
  <property fmtid="{D5CDD505-2E9C-101B-9397-08002B2CF9AE}" pid="17" name="MSIP_Label_8bb759f6-5337-4dc5-b19b-e74b6da11f8f_Parent">
    <vt:lpwstr>585f1f62-8d2b-4457-869c-0a13c6549635</vt:lpwstr>
  </property>
  <property fmtid="{D5CDD505-2E9C-101B-9397-08002B2CF9AE}" pid="18" name="MSIP_Label_8bb759f6-5337-4dc5-b19b-e74b6da11f8f_Extended_MSFT_Method">
    <vt:lpwstr>Automatic</vt:lpwstr>
  </property>
  <property fmtid="{D5CDD505-2E9C-101B-9397-08002B2CF9AE}" pid="19" name="Sensitivity">
    <vt:lpwstr>Private Internal</vt:lpwstr>
  </property>
</Properties>
</file>